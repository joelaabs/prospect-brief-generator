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How to use" sheetId="2" state="visible" r:id="rId4"/>
    <sheet name="Companies" sheetId="3" state="visible" r:id="rId5"/>
    <sheet name="Lists" sheetId="4" state="visible" r:id="rId6"/>
  </sheets>
  <definedNames>
    <definedName function="false" hidden="true" localSheetId="2" name="_xlnm._FilterDatabase" vbProcedure="false">Companies!$A$1:$BC$7000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<sst xmlns="http://schemas.openxmlformats.org/spreadsheetml/2006/main" count="356" uniqueCount="253">
  <si>
    <t xml:space="preserve">Prospecting Dashboard</t>
  </si>
  <si>
    <t xml:space="preserve">Updates automatically from the Companies tab. Do not type on this tab.</t>
  </si>
  <si>
    <t xml:space="preserve">Key numbers</t>
  </si>
  <si>
    <t xml:space="preserve">Companies on list</t>
  </si>
  <si>
    <t xml:space="preserve">Emails sent (first email)</t>
  </si>
  <si>
    <t xml:space="preserve">Replies</t>
  </si>
  <si>
    <t xml:space="preserve">Reply rate</t>
  </si>
  <si>
    <t xml:space="preserve">Meetings booked</t>
  </si>
  <si>
    <t xml:space="preserve">Customers</t>
  </si>
  <si>
    <t xml:space="preserve">Follow-ups due today or overdue</t>
  </si>
  <si>
    <t xml:space="preserve">Next steps due today or overdue</t>
  </si>
  <si>
    <t xml:space="preserve">Pipeline by Prospect Status</t>
  </si>
  <si>
    <t xml:space="preserve">Status</t>
  </si>
  <si>
    <t xml:space="preserve">Companies</t>
  </si>
  <si>
    <t xml:space="preserve">Tier A</t>
  </si>
  <si>
    <t xml:space="preserve">Tier B</t>
  </si>
  <si>
    <t xml:space="preserve">Tier C</t>
  </si>
  <si>
    <t xml:space="preserve">Not started</t>
  </si>
  <si>
    <t xml:space="preserve">Needs research</t>
  </si>
  <si>
    <t xml:space="preserve">Ready to email</t>
  </si>
  <si>
    <t xml:space="preserve">Emailed</t>
  </si>
  <si>
    <t xml:space="preserve">Following up</t>
  </si>
  <si>
    <t xml:space="preserve">Replied</t>
  </si>
  <si>
    <t xml:space="preserve">Meeting set</t>
  </si>
  <si>
    <t xml:space="preserve">Customer</t>
  </si>
  <si>
    <t xml:space="preserve">Not now</t>
  </si>
  <si>
    <t xml:space="preserve">Not a fit</t>
  </si>
  <si>
    <t xml:space="preserve">Results by Industry Group</t>
  </si>
  <si>
    <t xml:space="preserve">Industry Group</t>
  </si>
  <si>
    <t xml:space="preserve">Emails sent</t>
  </si>
  <si>
    <t xml:space="preserve">Meetings</t>
  </si>
  <si>
    <t xml:space="preserve">Metalworking &amp; Machinery</t>
  </si>
  <si>
    <t xml:space="preserve">Construction</t>
  </si>
  <si>
    <t xml:space="preserve">Other Manufacturing</t>
  </si>
  <si>
    <t xml:space="preserve">Wholesale &amp; Distribution</t>
  </si>
  <si>
    <t xml:space="preserve">Logistics &amp; Transportation</t>
  </si>
  <si>
    <t xml:space="preserve">Plastics, Rubber &amp; Chemicals</t>
  </si>
  <si>
    <t xml:space="preserve">Automotive &amp; Aerospace</t>
  </si>
  <si>
    <t xml:space="preserve">Agriculture, Forestry &amp; Landscaping</t>
  </si>
  <si>
    <t xml:space="preserve">Services, Repair &amp; Staffing</t>
  </si>
  <si>
    <t xml:space="preserve">Healthcare</t>
  </si>
  <si>
    <t xml:space="preserve">Food Processing</t>
  </si>
  <si>
    <t xml:space="preserve">Public Sector &amp; Municipal</t>
  </si>
  <si>
    <t xml:space="preserve">Waste &amp; Recycling</t>
  </si>
  <si>
    <t xml:space="preserve">Energy, Utilities &amp; Mining</t>
  </si>
  <si>
    <t xml:space="preserve">Retail, Hospitality &amp; Other</t>
  </si>
  <si>
    <t xml:space="preserve">A/B email test</t>
  </si>
  <si>
    <t xml:space="preserve">Email Version</t>
  </si>
  <si>
    <t xml:space="preserve">A - Pain point</t>
  </si>
  <si>
    <t xml:space="preserve">B - News/trigger</t>
  </si>
  <si>
    <t xml:space="preserve">How to use this CRM</t>
  </si>
  <si>
    <t xml:space="preserve">1. Work in the Companies tab. One row = one company. Use the filter arrows in the header row to sort and filter (e.g. Tier = A, MI Region = West).</t>
  </si>
  <si>
    <t xml:space="preserve">2. Column header colors tell you what to edit:</t>
  </si>
  <si>
    <t xml:space="preserve">     Dark gray = OSHA data (filled in for you, leave as-is)</t>
  </si>
  <si>
    <t xml:space="preserve">     Blue = company research you fill in (website, main phone, general email, contact research status)</t>
  </si>
  <si>
    <t xml:space="preserve">     Green = Contact 1 and Contact 2 (name, title, role, email, phone)</t>
  </si>
  <si>
    <t xml:space="preserve">     Orange = outreach tracking (status, email version, dates, reply, meeting, notes)</t>
  </si>
  <si>
    <t xml:space="preserve">3. Dropdown cells: click the cell, then the small arrow. To change dropdown options, edit the Lists tab.</t>
  </si>
  <si>
    <t xml:space="preserve">4. "Find Website" and "Find People (LinkedIn)" are clickable search links for each company.</t>
  </si>
  <si>
    <t xml:space="preserve">5. Contact Research: Search online -&gt; Call company -&gt; Found - ready (or No contact found).</t>
  </si>
  <si>
    <t xml:space="preserve">6. When you send the first email, type the date in First Email Sent (e.g. 10/28/2026). Follow-up 1 Due (+3 workdays) and Follow-up 2 Due (+7 workdays) fill in automatically and turn ORANGE when due and no reply yet.</t>
  </si>
  <si>
    <t xml:space="preserve">7. Set Reply Type when someone answers, and update Prospect Status. Use Next Step + Next Step Date for calls, sample drop-offs and "Not now" recontact dates.</t>
  </si>
  <si>
    <t xml:space="preserve">8. The Dashboard tab updates by itself: reply rate, meetings, follow-ups due, results by industry, and the A/B email test.</t>
  </si>
  <si>
    <t xml:space="preserve">9. To add a new company, type it in the first empty row at the bottom. Dropdowns and formatting work down to row 7,000; copy the two Follow-up Due formulas down from the row above.</t>
  </si>
  <si>
    <t xml:space="preserve">Prospect Status meanings</t>
  </si>
  <si>
    <t xml:space="preserve">Not started - on the list, nothing done | Needs research - missing contacts/emails | Ready to email - contact + email ready</t>
  </si>
  <si>
    <t xml:space="preserve">Emailed - first email sent | Following up - in calls/follow-ups | Replied - they responded</t>
  </si>
  <si>
    <t xml:space="preserve">Meeting set - call, visit or samples scheduled | Customer - ordering | Not now - try again later (set Next Step Date) | Not a fit - stop</t>
  </si>
  <si>
    <t xml:space="preserve">Data notes</t>
  </si>
  <si>
    <t xml:space="preserve">Companies, tiers, employees, sites and injury numbers come from OSHA Injury Tracking Application Form 300A data: https://www.osha.gov/Establishment-Specific-Injury-and-Illness-Data</t>
  </si>
  <si>
    <t xml:space="preserve">Tier is an ESTIMATE from Michigan employees at hands-on sites: A = 300+, B = 100-299, C = under 100 (starting thresholds; adjust as orders come in).</t>
  </si>
  <si>
    <t xml:space="preserve">OSHA Injury Rate = recordable cases per 100 full-time workers per year. Injury numbers are for your background only - do not quote them in cold emails.</t>
  </si>
  <si>
    <t xml:space="preserve">ID</t>
  </si>
  <si>
    <t xml:space="preserve">Company</t>
  </si>
  <si>
    <t xml:space="preserve">Prospect Status</t>
  </si>
  <si>
    <t xml:space="preserve">Tier</t>
  </si>
  <si>
    <t xml:space="preserve">Glove Fit</t>
  </si>
  <si>
    <t xml:space="preserve">Industry Detail</t>
  </si>
  <si>
    <t xml:space="preserve">MI Region</t>
  </si>
  <si>
    <t xml:space="preserve">City</t>
  </si>
  <si>
    <t xml:space="preserve">Street Address</t>
  </si>
  <si>
    <t xml:space="preserve">ZIP</t>
  </si>
  <si>
    <t xml:space="preserve">MI Employees</t>
  </si>
  <si>
    <t xml:space="preserve">MI Sites</t>
  </si>
  <si>
    <t xml:space="preserve">OSHA Recordable Cases</t>
  </si>
  <si>
    <t xml:space="preserve">OSHA Injury Rate</t>
  </si>
  <si>
    <t xml:space="preserve">Website</t>
  </si>
  <si>
    <t xml:space="preserve">Find Website</t>
  </si>
  <si>
    <t xml:space="preserve">Find People (LinkedIn)</t>
  </si>
  <si>
    <t xml:space="preserve">Main Phone</t>
  </si>
  <si>
    <t xml:space="preserve">General Email</t>
  </si>
  <si>
    <t xml:space="preserve">Contact Research</t>
  </si>
  <si>
    <t xml:space="preserve">Contact 1 Name</t>
  </si>
  <si>
    <t xml:space="preserve">Contact 1 Title</t>
  </si>
  <si>
    <t xml:space="preserve">Contact 1 Role</t>
  </si>
  <si>
    <t xml:space="preserve">Contact 1 Email</t>
  </si>
  <si>
    <t xml:space="preserve">Contact 1 Phone</t>
  </si>
  <si>
    <t xml:space="preserve">Contact 2 Name</t>
  </si>
  <si>
    <t xml:space="preserve">Contact 2 Title</t>
  </si>
  <si>
    <t xml:space="preserve">Contact 2 Role</t>
  </si>
  <si>
    <t xml:space="preserve">Contact 2 Email</t>
  </si>
  <si>
    <t xml:space="preserve">Contact 2 Phone</t>
  </si>
  <si>
    <t xml:space="preserve">First Email Sent</t>
  </si>
  <si>
    <t xml:space="preserve">Follow-up 1 Due</t>
  </si>
  <si>
    <t xml:space="preserve">Follow-up 2 Due</t>
  </si>
  <si>
    <t xml:space="preserve">Next Step</t>
  </si>
  <si>
    <t xml:space="preserve">Next Step Date</t>
  </si>
  <si>
    <t xml:space="preserve">Last Contact Date</t>
  </si>
  <si>
    <t xml:space="preserve">Reply Type</t>
  </si>
  <si>
    <t xml:space="preserve">Meeting Booked</t>
  </si>
  <si>
    <t xml:space="preserve">Notes</t>
  </si>
  <si>
    <t xml:space="preserve">In HubSpot</t>
  </si>
  <si>
    <t xml:space="preserve">Brief File</t>
  </si>
  <si>
    <t xml:space="preserve">Recommended Styles</t>
  </si>
  <si>
    <t xml:space="preserve">Call Opener</t>
  </si>
  <si>
    <t xml:space="preserve">Safety Email Subject</t>
  </si>
  <si>
    <t xml:space="preserve">Safety Email Body</t>
  </si>
  <si>
    <t xml:space="preserve">Purchasing Email Subject</t>
  </si>
  <si>
    <t xml:space="preserve">Purchasing Email Body</t>
  </si>
  <si>
    <t xml:space="preserve">General Inbox Email Subject</t>
  </si>
  <si>
    <t xml:space="preserve">General Inbox Email Body</t>
  </si>
  <si>
    <t xml:space="preserve">Follow-up 1 Body</t>
  </si>
  <si>
    <t xml:space="preserve">Follow-up 2 Body</t>
  </si>
  <si>
    <t xml:space="preserve">Voicemail</t>
  </si>
  <si>
    <t xml:space="preserve">Generated On</t>
  </si>
  <si>
    <t xml:space="preserve">Kestrel Lake Stamping Co.</t>
  </si>
  <si>
    <t xml:space="preserve">A</t>
  </si>
  <si>
    <t xml:space="preserve">High</t>
  </si>
  <si>
    <t xml:space="preserve">Automotive - Parts Supplier</t>
  </si>
  <si>
    <t xml:space="preserve">West (Grand Rapids/Muskegon)</t>
  </si>
  <si>
    <t xml:space="preserve">Holland</t>
  </si>
  <si>
    <t xml:space="preserve">100 Example Industrial Dr</t>
  </si>
  <si>
    <t xml:space="preserve">49423</t>
  </si>
  <si>
    <t xml:space="preserve">Search</t>
  </si>
  <si>
    <t xml:space="preserve">Found - ready</t>
  </si>
  <si>
    <t xml:space="preserve">Alex Rivera</t>
  </si>
  <si>
    <t xml:space="preserve">EHS Manager</t>
  </si>
  <si>
    <t xml:space="preserve">Safety / EHS</t>
  </si>
  <si>
    <t xml:space="preserve">alex.rivera@example.com</t>
  </si>
  <si>
    <t xml:space="preserve">FICTIONAL example row: a researched company with a named safety contact.</t>
  </si>
  <si>
    <t xml:space="preserve">No</t>
  </si>
  <si>
    <t xml:space="preserve">briefs/generated/0001-kestrel-lake-stamping-co.md</t>
  </si>
  <si>
    <t xml:space="preserve">43001 (cut protection with grip on oily parts); 8846 (very thin cut F glove for assembly and inspection); WELDING 118A (welding cells)</t>
  </si>
  <si>
    <t xml:space="preserve">In automotive, the fight is always cut protection versus dexterity, and that's the gap I help close.</t>
  </si>
  <si>
    <t xml:space="preserve">Glove idea for Kestrel Lake Stamping</t>
  </si>
  <si>
    <t xml:space="preserve">Hi Alex,
Stamped edges and oily parts are one of the hardest places to keep gloves on, because a glove thick enough to stop a cut is often too clumsy for assembly.
I'm the Michigan rep for Tegera gloves by Ejendals. For stamping, welding and assembly, I'd start with the TEGERA 43001 (cut protection with grip on oily parts) and the TEGERA 8846 (very thin cut F glove for assembly and inspection). Sizes go up to 12 in some styles, and they ship through Fastenal, MSC and other major distributors, so there's no new vendor.
Would you be open to a 15-minute call to see if a glove trial at Kestrel Lake Stamping makes sense?
Your Name
Territory Sales Representative | Your Company
(555) 555-0100 | you@yourcompany.com
[Your business mailing address]
Not the right person, or prefer no follow-ups? Just reply and let me know.</t>
  </si>
  <si>
    <t xml:space="preserve">Glove spend at Kestrel Lake Stamping</t>
  </si>
  <si>
    <t xml:space="preserve">Hi [First name],
Gloves are a consumable that adds up fast in stamping, welding and assembly, especially when they wear out quickly or get tossed because they don't fit.
I'm the Michigan rep for Tegera gloves by Ejendals. They're made to last longer at each protection level, which lowers what you spend per worker, and sizing goes up to 12 in some styles. You can order through Fastenal, MSC and other major distributors, so there's no new vendor setup.
Would a 15-minute call make sense to compare what Kestrel Lake Stamping buys today?
Your Name
Territory Sales Representative | Your Company
(555) 555-0100 | you@yourcompany.com
[Your business mailing address]
Not the right person, or prefer no follow-ups? Just reply and let me know.</t>
  </si>
  <si>
    <t xml:space="preserve">Who handles safety gloves at Kestrel Lake Stamping?</t>
  </si>
  <si>
    <t xml:space="preserve">Hi,
I'm Your Name, the Michigan rep for Tegera safety gloves by Ejendals. Could you point me to the person who handles safety gloves or PPE purchasing for Kestrel Lake Stamping? Usually that's the safety manager or purchasing.
I'd like to send them a short note about gloves for stamping, welding and assembly. Thank you!
Your Name
Territory Sales Representative | Your Company
(555) 555-0100 | you@yourcompany.com
[Your business mailing address]
Not the right person, or prefer no follow-ups? Just reply and let me know.</t>
  </si>
  <si>
    <t xml:space="preserve">Hi [First name],
Following up on my note about gloves for stamping, welding and assembly. If it's easier, I can drop off a few pairs of the TEGERA 43001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</si>
  <si>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I don't want to crowd your inbox, so this is my last note for now. If gloves come up later, I'm local and happy to help. We also carry JALAS safety footwear from the same manufacturer.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</si>
  <si>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stamping, welding and assembly at Kestrel Lake Stamping. I'd like to drop off a few pairs of the TEGERA 43001 for your team to try. I'll send a short email too. You can reach me at (555) 555-0100. Again, Your Name, (555) 555-0100. Thanks.</t>
  </si>
  <si>
    <t xml:space="preserve">Sablewood Molded Plastics</t>
  </si>
  <si>
    <t xml:space="preserve">Manufacturing - Plastics &amp; Rubber</t>
  </si>
  <si>
    <t xml:space="preserve">Southeast (Detroit Metro)</t>
  </si>
  <si>
    <t xml:space="preserve">Sterling Heights</t>
  </si>
  <si>
    <t xml:space="preserve">200 Sample Rd</t>
  </si>
  <si>
    <t xml:space="preserve">48310</t>
  </si>
  <si>
    <t xml:space="preserve">briefs/generated/0002-sablewood-molded-plastics.md</t>
  </si>
  <si>
    <t xml:space="preserve">43001 (cut protection for trimming and deflashing); Tegera chemical &amp; liquid protection gloves (chemical and liquid handling); Tegera heat protection gloves (hot molds and heated materials)</t>
  </si>
  <si>
    <t xml:space="preserve">Molding and chemical plants usually juggle cut, heat and chemical gloves, and I can cover all three with one line.</t>
  </si>
  <si>
    <t xml:space="preserve">Local glove support for Sablewood Molded Plastics</t>
  </si>
  <si>
    <t xml:space="preserve">Hi [First name],
I'm guessing glove choices at your Sterling Heights location vary by area and shift, and some people skip them.
I'm the Michigan rep for Tegera gloves by Ejendals, and I cover Southeast Michigan in person: plant walks, fit checks and glove trials. For molding, trimming and chemical handling, the TEGERA 43001 and Tegera chemical &amp; liquid protection gloves are where I'd start, and you can order them through Fastenal, MSC and other major distributors.
Would you be open to a 15-minute call, or a quick visit with samples?
Your Name
Territory Sales Representative | Your Company
(555) 555-0100 | you@yourcompany.com
[Your business mailing address]
Not the right person, or prefer no follow-ups? Just reply and let me know.</t>
  </si>
  <si>
    <t xml:space="preserve">Simplifying gloves at Sablewood Molded Plastics</t>
  </si>
  <si>
    <t xml:space="preserve">Hi [First name],
Most companies I visit buy several glove types from several sources, and nobody's sure which one actually lasts.
I'm the Michigan rep for Tegera gloves by Ejendals. One line covers cut, heat, cold and wet work, and vibration, and it ships through Fastenal, MSC and other major distributors you may already use.
Would a 15-minute call make sense to compare what you buy today?
Your Name
Territory Sales Representative | Your Company
(555) 555-0100 | you@yourcompany.com
[Your business mailing address]
Not the right person, or prefer no follow-ups? Just reply and let me know.</t>
  </si>
  <si>
    <t xml:space="preserve">Who handles safety gloves at Sablewood Molded Plastics?</t>
  </si>
  <si>
    <t xml:space="preserve">Hi,
I'm Your Name, the Michigan rep for Tegera safety gloves by Ejendals. Could you point me to the person who handles safety gloves or PPE purchasing for Sablewood Molded Plastics? Usually that's the safety manager or purchasing.
I'd like to send them a short note about gloves for molding, trimming and chemical handling. Thank you!
Your Name
Territory Sales Representative | Your Company
(555) 555-0100 | you@yourcompany.com
[Your business mailing address]
Not the right person, or prefer no follow-ups? Just reply and let me know.</t>
  </si>
  <si>
    <t xml:space="preserve">Hi [First name],
Following up on my note about gloves for molding, trimming and chemical handling. If it's easier, I can drop off a few pairs of the TEGERA 43001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</si>
  <si>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molding, trimming and chemical handling at Sablewood Molded Plastics. I'd like to drop off a few pairs of the TEGERA 43001 for your team to try. I'll send a short email too. You can reach me at (555) 555-0100. Again, Your Name, (555) 555-0100. Thanks.</t>
  </si>
  <si>
    <t xml:space="preserve">Pinehaven Gray Iron</t>
  </si>
  <si>
    <t xml:space="preserve">B</t>
  </si>
  <si>
    <t xml:space="preserve">Manufacturing - Primary Metals/Foundry</t>
  </si>
  <si>
    <t xml:space="preserve">Muskegon</t>
  </si>
  <si>
    <t xml:space="preserve">300 Demo Ave</t>
  </si>
  <si>
    <t xml:space="preserve">49442</t>
  </si>
  <si>
    <t xml:space="preserve">briefs/generated/0003-pinehaven-gray-iron.md</t>
  </si>
  <si>
    <t xml:space="preserve">43001 (cut protection with grip on oily parts); 8846 (thin cut glove for inspection and fine work); PRO 9180A (grinding and deburring vibration)</t>
  </si>
  <si>
    <t xml:space="preserve">Most machine and metal shops I talk to are fighting the same trade-off: cut protection versus feel.</t>
  </si>
  <si>
    <t xml:space="preserve">Glove idea for Pinehaven Gray Iron</t>
  </si>
  <si>
    <t xml:space="preserve">Hi [First name],
Sharp parts and oily surfaces are hard on gloves, and a glove thick enough to stop a cut is often too clumsy for precise work.
I'm the Michigan rep for Tegera gloves by Ejendals. For machining, grinding and handling sharp metal parts, I'd start with the TEGERA 43001 (cut protection with grip on oily parts) and the TEGERA 8846 (thin cut glove for inspection and fine work). Sizes go up to 12 in some styles, and they ship through Fastenal, MSC and other major distributors, so there's no new vendor.
Would you be open to a 15-minute call to see if a glove trial at Pinehaven Gray Iron makes sense?
Your Name
Territory Sales Representative | Your Company
(555) 555-0100 | you@yourcompany.com
[Your business mailing address]
Not the right person, or prefer no follow-ups? Just reply and let me know.</t>
  </si>
  <si>
    <t xml:space="preserve">Glove spend at Pinehaven Gray Iron</t>
  </si>
  <si>
    <t xml:space="preserve">Hi [First name],
Gloves are a consumable that adds up fast in machining, grinding and handling sharp metal parts, especially when they wear out quickly or get tossed because they don't fit.
I'm the Michigan rep for Tegera gloves by Ejendals. They're made to last longer at each protection level, which lowers what you spend per worker, and sizing goes up to 12 in some styles. You can order through Fastenal, MSC and other major distributors, so there's no new vendor setup.
Would a 15-minute call make sense to compare what Pinehaven Gray Iron buys today?
Your Name
Territory Sales Representative | Your Company
(555) 555-0100 | you@yourcompany.com
[Your business mailing address]
Not the right person, or prefer no follow-ups? Just reply and let me know.</t>
  </si>
  <si>
    <t xml:space="preserve">Who handles safety gloves at Pinehaven Gray Iron?</t>
  </si>
  <si>
    <t xml:space="preserve">Hi,
I'm Your Name, the Michigan rep for Tegera safety gloves by Ejendals. Could you point me to the person who handles safety gloves or PPE purchasing for Pinehaven Gray Iron? Usually that's the safety manager or purchasing.
I'd like to send them a short note about gloves for machining, grinding and handling sharp metal parts. Thank you!
Your Name
Territory Sales Representative | Your Company
(555) 555-0100 | you@yourcompany.com
[Your business mailing address]
Not the right person, or prefer no follow-ups? Just reply and let me know.</t>
  </si>
  <si>
    <t xml:space="preserve">Hi [First name],
Following up on my note about gloves for machining, grinding and handling sharp metal parts. If it's easier, I can drop off a few pairs of the TEGERA 43001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</si>
  <si>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machining, grinding and handling sharp metal parts at Pinehaven Gray Iron. I'd like to drop off a few pairs of the TEGERA 43001 for your team to try. I'll send a short email too. You can reach me at (555) 555-0100. Again, Your Name, (555) 555-0100. Thanks.</t>
  </si>
  <si>
    <t xml:space="preserve">Copperline Cold Storage &amp; Logistics</t>
  </si>
  <si>
    <t xml:space="preserve">Logistics/Warehousing</t>
  </si>
  <si>
    <t xml:space="preserve">Saginaw / Bay / Thumb</t>
  </si>
  <si>
    <t xml:space="preserve">Saginaw</t>
  </si>
  <si>
    <t xml:space="preserve">400 Placeholder St</t>
  </si>
  <si>
    <t xml:space="preserve">48601</t>
  </si>
  <si>
    <t xml:space="preserve">briefs/generated/0004-copperline-cold-storage-logistics.md</t>
  </si>
  <si>
    <t xml:space="preserve">295 (waterproof leather for cold, wet work); 43001 (cut protection with good grip)</t>
  </si>
  <si>
    <t xml:space="preserve">With winter coming, this is when dock and yard crews start asking for better gloves.</t>
  </si>
  <si>
    <t xml:space="preserve">Local glove support for Copperline Cold Storage &amp; Logistics</t>
  </si>
  <si>
    <t xml:space="preserve">Hi [First name],
With Michigan winter on the way, cold, wet hands are about to become the main reason gloves come off.
I'm the Michigan rep for Tegera gloves by Ejendals, and I cover the Saginaw, Bay City and Thumb area in person: plant walks, fit checks and glove trials. For drivers, dock and yard crews, the TEGERA 295 and TEGERA 43001 are where I'd start, and you can order them through Fastenal, MSC and other major distributors.
Would you be open to a 15-minute call, or a quick visit with samples?
Your Name
Territory Sales Representative | Your Company
(555) 555-0100 | you@yourcompany.com
[Your business mailing address]
Not the right person, or prefer no follow-ups? Just reply and let me know.</t>
  </si>
  <si>
    <t xml:space="preserve">Simplifying gloves at Copperline Cold Storage &amp; Logistics</t>
  </si>
  <si>
    <t xml:space="preserve">Hi [First name],
Buying gloves for 2 Michigan sites usually means different gloves, prices and reorder points at each one.
I'm the Michigan rep for Tegera gloves by Ejendals. One line covers cut, heat, cold and wet work, and vibration, and it ships through Fastenal, MSC and other major distributors you may already use.
Would a 15-minute call make sense to compare what you buy today?
Your Name
Territory Sales Representative | Your Company
(555) 555-0100 | you@yourcompany.com
[Your business mailing address]
Not the right person, or prefer no follow-ups? Just reply and let me know.</t>
  </si>
  <si>
    <t xml:space="preserve">Who handles safety gloves at Copperline Cold Storage &amp; Logistics?</t>
  </si>
  <si>
    <t xml:space="preserve">Hi,
I'm Your Name, the Michigan rep for Tegera safety gloves by Ejendals. Could you point me to the person who handles safety gloves or PPE purchasing for Copperline Cold Storage &amp; Logistics? Usually that's the safety manager or purchasing.
I'd like to send them a short note about gloves for drivers, dock and yard crews. Thank you!
Your Name
Territory Sales Representative | Your Company
(555) 555-0100 | you@yourcompany.com
[Your business mailing address]
Not the right person, or prefer no follow-ups? Just reply and let me know.</t>
  </si>
  <si>
    <t xml:space="preserve">Hi [First name],
Following up on my note about gloves for drivers, dock and yard crews. If it's easier, I can drop off a few pairs of the TEGERA 295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</si>
  <si>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drivers, dock and yard crews at Copperline Cold Storage &amp; Logistics. I'd like to drop off a few pairs of the TEGERA 295 for your team to try. I'll send a short email too. You can reach me at (555) 555-0100. Again, Your Name, (555) 555-0100. Thanks.</t>
  </si>
  <si>
    <t xml:space="preserve">Northvale Builders</t>
  </si>
  <si>
    <t xml:space="preserve">C</t>
  </si>
  <si>
    <t xml:space="preserve">Construction - Concrete &amp; Foundation</t>
  </si>
  <si>
    <t xml:space="preserve">Lansing / Mid-Michigan</t>
  </si>
  <si>
    <t xml:space="preserve">Lansing</t>
  </si>
  <si>
    <t xml:space="preserve">500 Mock Ln</t>
  </si>
  <si>
    <t xml:space="preserve">48906</t>
  </si>
  <si>
    <t xml:space="preserve">briefs/generated/0005-northvale-builders.md</t>
  </si>
  <si>
    <t xml:space="preserve">295 (waterproof leather for cold, wet jobsites); 43001 (cut protection for sheet metal and rebar); PRO 9180A (vibration from breakers and hammer drills)</t>
  </si>
  <si>
    <t xml:space="preserve">With winter coming, this is when crews start complaining about cold, wet gloves.</t>
  </si>
  <si>
    <t xml:space="preserve">Glove idea for Northvale Builders</t>
  </si>
  <si>
    <t xml:space="preserve">Hi [First name],
Construction gloves take a beating from concrete, rebar and weather, and crews go through them fast or skip them when they're wet and cold.
I'm the Michigan rep for Tegera gloves by Ejendals. For outdoor construction crews, I'd start with the TEGERA 295 (waterproof leather for cold, wet jobsites) and the TEGERA 43001 (cut protection for sheet metal and rebar). Sizes go up to 12 in some styles, and they ship through Fastenal, MSC and other major distributors, so there's no new vendor.
Would you be open to a 15-minute call to see if a glove trial at Northvale Builders makes sense?
Your Name
Territory Sales Representative | Your Company
(555) 555-0100 | you@yourcompany.com
[Your business mailing address]
Not the right person, or prefer no follow-ups? Just reply and let me know.</t>
  </si>
  <si>
    <t xml:space="preserve">Glove spend at Northvale Builders</t>
  </si>
  <si>
    <t xml:space="preserve">Hi [First name],
Gloves are a consumable that adds up fast in outdoor construction crews, especially when they wear out quickly or get tossed because they don't fit.
I'm the Michigan rep for Tegera gloves by Ejendals. They're made to last longer at each protection level, which lowers what you spend per worker, and sizing goes up to 12 in some styles. You can order through Fastenal, MSC and other major distributors, so there's no new vendor setup.
Would a 15-minute call make sense to compare what Northvale Builders buys today?
Your Name
Territory Sales Representative | Your Company
(555) 555-0100 | you@yourcompany.com
[Your business mailing address]
Not the right person, or prefer no follow-ups? Just reply and let me know.</t>
  </si>
  <si>
    <t xml:space="preserve">Who handles safety gloves at Northvale Builders?</t>
  </si>
  <si>
    <t xml:space="preserve">Hi,
I'm Your Name, the Michigan rep for Tegera safety gloves by Ejendals. Could you point me to the person who handles safety gloves or PPE purchasing for Northvale Builders? Usually that's the safety manager or purchasing.
I'd like to send them a short note about gloves for outdoor construction crews. Thank you!
Your Name
Territory Sales Representative | Your Company
(555) 555-0100 | you@yourcompany.com
[Your business mailing address]
Not the right person, or prefer no follow-ups? Just reply and let me know.</t>
  </si>
  <si>
    <t xml:space="preserve">Hi [First name],
Following up on my note about gloves for outdoor construction crews. If it's easier, I can drop off a few pairs of the TEGERA 295 in different sizes so your team can try them on shift. Is there a good day this week or next?
Your Name
Territory Sales Representative | Your Company
(555) 555-0100 | you@yourcompany.com
[Your business mailing address]
Not the right person, or prefer no follow-ups? Just reply and let me know.</t>
  </si>
  <si>
    <t xml:space="preserve">Hi [First name], this is Your Name with Your Company, the Michigan rep for Tegera safety gloves. I'm calling about gloves for outdoor construction crews at Northvale Builders. I'd like to drop off a few pairs of the TEGERA 295 for your team to try. I'll send a short email too. You can reach me at (555) 555-0100. Again, Your Name, (555) 555-0100. Thanks.</t>
  </si>
  <si>
    <t xml:space="preserve">Contact Role</t>
  </si>
  <si>
    <t xml:space="preserve">Yes/No</t>
  </si>
  <si>
    <t xml:space="preserve">Call</t>
  </si>
  <si>
    <t xml:space="preserve">No reply yet</t>
  </si>
  <si>
    <t xml:space="preserve">Yes</t>
  </si>
  <si>
    <t xml:space="preserve">Medium</t>
  </si>
  <si>
    <t xml:space="preserve">Search online</t>
  </si>
  <si>
    <t xml:space="preserve">Purchasing</t>
  </si>
  <si>
    <t xml:space="preserve">Email</t>
  </si>
  <si>
    <t xml:space="preserve">Positive</t>
  </si>
  <si>
    <t xml:space="preserve">Low</t>
  </si>
  <si>
    <t xml:space="preserve">Southwest (Kalamazoo/Battle Creek)</t>
  </si>
  <si>
    <t xml:space="preserve">Call company</t>
  </si>
  <si>
    <t xml:space="preserve">Plant / Operations Mgr</t>
  </si>
  <si>
    <t xml:space="preserve">Call + Email</t>
  </si>
  <si>
    <t xml:space="preserve">Owner / Executive</t>
  </si>
  <si>
    <t xml:space="preserve">Sample drop-off</t>
  </si>
  <si>
    <t xml:space="preserve">No contact found</t>
  </si>
  <si>
    <t xml:space="preserve">HR</t>
  </si>
  <si>
    <t xml:space="preserve">Meeting</t>
  </si>
  <si>
    <t xml:space="preserve">Referral</t>
  </si>
  <si>
    <t xml:space="preserve">Flint / Genesee</t>
  </si>
  <si>
    <t xml:space="preserve">Maintenance</t>
  </si>
  <si>
    <t xml:space="preserve">None</t>
  </si>
  <si>
    <t xml:space="preserve">Upper Peninsula</t>
  </si>
  <si>
    <t xml:space="preserve">Office / Reception</t>
  </si>
  <si>
    <t xml:space="preserve">Jackson / South Central</t>
  </si>
  <si>
    <t xml:space="preserve">Other</t>
  </si>
  <si>
    <t xml:space="preserve">Northwest (Traverse City)</t>
  </si>
  <si>
    <t xml:space="preserve">Northern Lower</t>
  </si>
  <si>
    <t xml:space="preserve">Unknown</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</si>
</sst>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mm/dd/yyyy"/>
  </numFmts>
  <fonts count="2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7F7F7F"/>
      <name val="Arial"/>
      <family val="0"/>
      <charset val="1"/>
    </font>
    <font>
      <b val="true"/>
      <sz val="10"/>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color rgb="FF404040"/>
      <name val="Arial"/>
      <family val="0"/>
      <charset val="1"/>
    </font>
    <font>
      <b val="true"/>
      <sz val="10"/>
      <color rgb="FF1F4E79"/>
      <name val="Arial"/>
      <family val="0"/>
      <charset val="1"/>
    </font>
    <font>
      <b val="true"/>
      <sz val="10"/>
      <color rgb="FF5B2C6F"/>
      <name val="Arial"/>
      <family val="0"/>
      <charset val="1"/>
    </font>
    <font>
      <b val="true"/>
      <sz val="10"/>
      <color rgb="FF1F3864"/>
      <name val="Arial"/>
      <family val="0"/>
      <charset val="1"/>
    </font>
    <font>
      <b val="true"/>
      <sz val="10"/>
      <color rgb="FF833C0B"/>
      <name val="Arial"/>
      <family val="0"/>
      <charset val="1"/>
    </font>
    <font>
      <b val="true"/>
      <sz val="10"/>
      <color rgb="FF7F6000"/>
      <name val="Arial"/>
      <family val="0"/>
      <charset val="1"/>
    </font>
    <font>
      <b val="true"/>
      <sz val="10"/>
      <color rgb="FF375623"/>
      <name val="Arial"/>
      <family val="0"/>
      <charset val="1"/>
    </font>
    <font>
      <b val="true"/>
      <sz val="10"/>
      <color rgb="FF1E4620"/>
      <name val="Arial"/>
      <family val="0"/>
      <charset val="1"/>
    </font>
    <font>
      <b val="true"/>
      <sz val="10"/>
      <color rgb="FF7B1E44"/>
      <name val="Arial"/>
      <family val="0"/>
      <charset val="1"/>
    </font>
    <font>
      <b val="true"/>
      <sz val="10"/>
      <color rgb="FF8B0000"/>
      <name val="Arial"/>
      <family val="0"/>
      <charset val="1"/>
    </font>
    <font>
      <sz val="10"/>
      <color rgb="FF000000"/>
      <name val="Arial"/>
      <family val="0"/>
      <charset val="1"/>
    </font>
    <font>
      <sz val="10"/>
      <color rgb="FF595959"/>
      <name val="Arial"/>
      <family val="0"/>
      <charset val="1"/>
    </font>
    <font>
      <sz val="10"/>
      <color rgb="FF2E75B6"/>
      <name val="Arial"/>
      <family val="0"/>
      <charset val="1"/>
    </font>
    <font>
      <sz val="10"/>
      <color rgb="FF548235"/>
      <name val="Arial"/>
      <family val="0"/>
      <charset val="1"/>
    </font>
    <font>
      <sz val="10"/>
      <color rgb="FFC55A11"/>
      <name val="Arial"/>
      <family val="0"/>
      <charset val="1"/>
    </font>
    <font>
      <b val="true"/>
      <sz val="10"/>
      <color rgb="FF000000"/>
      <name val="Arial"/>
      <family val="0"/>
      <charset val="1"/>
    </font>
    <font>
      <u val="single"/>
      <sz val="10"/>
      <color rgb="FF0563C1"/>
      <name val="Arial"/>
      <family val="0"/>
      <charset val="1"/>
    </font>
    <font>
      <sz val="11"/>
      <name val="Arial"/>
      <family val="0"/>
      <charset val="1"/>
    </font>
  </fonts>
  <fills count="18">
    <fill>
      <patternFill patternType="none"/>
    </fill>
    <fill>
      <patternFill patternType="gray125"/>
    </fill>
    <fill>
      <patternFill patternType="solid">
        <fgColor rgb="FF1F3864"/>
        <bgColor rgb="FF1F4E79"/>
      </patternFill>
    </fill>
    <fill>
      <patternFill patternType="solid">
        <fgColor rgb="FFEDEDED"/>
        <bgColor rgb="FFE2EFDA"/>
      </patternFill>
    </fill>
    <fill>
      <patternFill patternType="solid">
        <fgColor rgb="FFDDEBF7"/>
        <bgColor rgb="FFEDEDED"/>
      </patternFill>
    </fill>
    <fill>
      <patternFill patternType="solid">
        <fgColor rgb="FFE4DFEC"/>
        <bgColor rgb="FFDDEBF7"/>
      </patternFill>
    </fill>
    <fill>
      <patternFill patternType="solid">
        <fgColor rgb="FFBDD7EE"/>
        <bgColor rgb="FFE4DFEC"/>
      </patternFill>
    </fill>
    <fill>
      <patternFill patternType="solid">
        <fgColor rgb="FFFCE4D6"/>
        <bgColor rgb="FFFFF2CC"/>
      </patternFill>
    </fill>
    <fill>
      <patternFill patternType="solid">
        <fgColor rgb="FFFFF2CC"/>
        <bgColor rgb="FFFCE4D6"/>
      </patternFill>
    </fill>
    <fill>
      <patternFill patternType="solid">
        <fgColor rgb="FFE2EFDA"/>
        <bgColor rgb="FFEDEDED"/>
      </patternFill>
    </fill>
    <fill>
      <patternFill patternType="solid">
        <fgColor rgb="FFA9D08E"/>
        <bgColor rgb="FFBDD7EE"/>
      </patternFill>
    </fill>
    <fill>
      <patternFill patternType="solid">
        <fgColor rgb="FFF8CBDA"/>
        <bgColor rgb="FFFCE4D6"/>
      </patternFill>
    </fill>
    <fill>
      <patternFill patternType="solid">
        <fgColor rgb="FFF4B6B6"/>
        <bgColor rgb="FFF8CBDA"/>
      </patternFill>
    </fill>
    <fill>
      <patternFill patternType="solid">
        <fgColor rgb="FFC55A11"/>
        <bgColor rgb="FF7F6000"/>
      </patternFill>
    </fill>
    <fill>
      <patternFill patternType="solid">
        <fgColor rgb="FF595959"/>
        <bgColor rgb="FF404040"/>
      </patternFill>
    </fill>
    <fill>
      <patternFill patternType="solid">
        <fgColor rgb="FF2E75B6"/>
        <bgColor rgb="FF0563C1"/>
      </patternFill>
    </fill>
    <fill>
      <patternFill patternType="solid">
        <fgColor rgb="FF548235"/>
        <bgColor rgb="FF595959"/>
      </patternFill>
    </fill>
    <fill>
      <patternFill patternType="solid">
        <fgColor rgb="FF7030A0"/>
        <bgColor rgb="FF5B2C6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15" fillId="8" borderId="0" xfId="0" applyFont="true" applyBorder="false" applyAlignment="false" applyProtection="false">
      <alignment horizontal="general" vertical="bottom" textRotation="0" wrapText="false" indent="0" shrinkToFit="false"/>
      <protection locked="true" hidden="false"/>
    </xf>
    <xf numFmtId="164" fontId="16" fillId="9" borderId="0" xfId="0" applyFont="true" applyBorder="false" applyAlignment="false" applyProtection="false">
      <alignment horizontal="general" vertical="bottom" textRotation="0" wrapText="false" indent="0" shrinkToFit="false"/>
      <protection locked="true" hidden="false"/>
    </xf>
    <xf numFmtId="164" fontId="17" fillId="10" borderId="0" xfId="0" applyFont="true" applyBorder="false" applyAlignment="false" applyProtection="false">
      <alignment horizontal="general" vertical="bottom" textRotation="0" wrapText="false" indent="0" shrinkToFit="false"/>
      <protection locked="true" hidden="false"/>
    </xf>
    <xf numFmtId="164" fontId="18" fillId="11" borderId="0" xfId="0" applyFont="true" applyBorder="false" applyAlignment="false" applyProtection="false">
      <alignment horizontal="general" vertical="bottom" textRotation="0" wrapText="false" indent="0" shrinkToFit="false"/>
      <protection locked="true" hidden="false"/>
    </xf>
    <xf numFmtId="164" fontId="19" fillId="12"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9" fillId="13" borderId="0" xfId="0" applyFont="true" applyBorder="false" applyAlignment="true" applyProtection="false">
      <alignment horizontal="center" vertical="center" textRotation="0" wrapText="true" indent="0" shrinkToFit="false"/>
      <protection locked="true" hidden="false"/>
    </xf>
    <xf numFmtId="164" fontId="9" fillId="14" borderId="0" xfId="0" applyFont="true" applyBorder="false" applyAlignment="true" applyProtection="false">
      <alignment horizontal="center" vertical="center" textRotation="0" wrapText="true" indent="0" shrinkToFit="false"/>
      <protection locked="true" hidden="false"/>
    </xf>
    <xf numFmtId="164" fontId="9" fillId="15" borderId="0" xfId="0" applyFont="true" applyBorder="false" applyAlignment="true" applyProtection="false">
      <alignment horizontal="center" vertical="center" textRotation="0" wrapText="true" indent="0" shrinkToFit="false"/>
      <protection locked="true" hidden="false"/>
    </xf>
    <xf numFmtId="164" fontId="9" fillId="16" borderId="0" xfId="0" applyFont="true" applyBorder="false" applyAlignment="true" applyProtection="false">
      <alignment horizontal="center" vertical="center" textRotation="0" wrapText="true" indent="0" shrinkToFit="false"/>
      <protection locked="true" hidden="false"/>
    </xf>
    <xf numFmtId="164" fontId="9" fillId="17"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55A11"/>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404040"/>
          <bgColor rgb="FF000000"/>
        </patternFill>
      </fill>
    </dxf>
    <dxf>
      <fill>
        <patternFill patternType="solid">
          <fgColor rgb="FF5B2C6F"/>
          <bgColor rgb="FF000000"/>
        </patternFill>
      </fill>
    </dxf>
    <dxf>
      <fill>
        <patternFill patternType="solid">
          <fgColor rgb="FF595959"/>
          <bgColor rgb="FF000000"/>
        </patternFill>
      </fill>
    </dxf>
    <dxf>
      <fill>
        <patternFill patternType="solid">
          <fgColor rgb="FFA9D08E"/>
          <bgColor rgb="FF000000"/>
        </patternFill>
      </fill>
    </dxf>
    <dxf>
      <fill>
        <patternFill patternType="solid">
          <fgColor rgb="FFBDD7EE"/>
          <bgColor rgb="FF000000"/>
        </patternFill>
      </fill>
    </dxf>
    <dxf>
      <fill>
        <patternFill patternType="solid">
          <fgColor rgb="FF2E75B6"/>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7030A0"/>
          <bgColor rgb="FF000000"/>
        </patternFill>
      </fill>
    </dxf>
    <dxf>
      <font>
        <b val="1"/>
        <color rgb="FF404040"/>
      </font>
      <fill>
        <patternFill>
          <bgColor rgb="FFEDEDED"/>
        </patternFill>
      </fill>
    </dxf>
    <dxf>
      <font>
        <b val="1"/>
        <color rgb="FF1F4E79"/>
      </font>
      <fill>
        <patternFill>
          <bgColor rgb="FFDDEBF7"/>
        </patternFill>
      </fill>
    </dxf>
    <dxf>
      <font>
        <b val="1"/>
        <color rgb="FF5B2C6F"/>
      </font>
      <fill>
        <patternFill>
          <bgColor rgb="FFE4DFEC"/>
        </patternFill>
      </fill>
    </dxf>
    <dxf>
      <font>
        <b val="1"/>
        <color rgb="FF1F3864"/>
      </font>
      <fill>
        <patternFill>
          <bgColor rgb="FFBDD7EE"/>
        </patternFill>
      </fill>
    </dxf>
    <dxf>
      <font>
        <b val="1"/>
        <color rgb="FF833C0B"/>
      </font>
      <fill>
        <patternFill>
          <bgColor rgb="FFFCE4D6"/>
        </patternFill>
      </fill>
    </dxf>
    <dxf>
      <font>
        <b val="1"/>
        <color rgb="FF7F6000"/>
      </font>
      <fill>
        <patternFill>
          <bgColor rgb="FFFFF2CC"/>
        </patternFill>
      </fill>
    </dxf>
    <dxf>
      <font>
        <b val="1"/>
        <color rgb="FF375623"/>
      </font>
      <fill>
        <patternFill>
          <bgColor rgb="FFE2EFDA"/>
        </patternFill>
      </fill>
    </dxf>
    <dxf>
      <font>
        <b val="1"/>
        <color rgb="FF1E4620"/>
      </font>
      <fill>
        <patternFill>
          <bgColor rgb="FFA9D08E"/>
        </patternFill>
      </fill>
    </dxf>
    <dxf>
      <font>
        <b val="1"/>
        <color rgb="FF7B1E44"/>
      </font>
      <fill>
        <patternFill>
          <bgColor rgb="FFF8CBDA"/>
        </patternFill>
      </fill>
    </dxf>
    <dxf>
      <font>
        <b val="1"/>
        <color rgb="FF8B0000"/>
      </font>
      <fill>
        <patternFill>
          <bgColor rgb="FFF4B6B6"/>
        </patternFill>
      </fill>
    </dxf>
    <dxf>
      <font>
        <b val="1"/>
      </font>
      <fill>
        <patternFill>
          <bgColor rgb="FFA9D08E"/>
        </patternFill>
      </fill>
    </dxf>
    <dxf>
      <font>
        <b val="1"/>
      </font>
      <fill>
        <patternFill>
          <bgColor rgb="FFBDD7EE"/>
        </patternFill>
      </fill>
    </dxf>
    <dxf>
      <font>
        <b val="1"/>
      </font>
      <fill>
        <patternFill>
          <bgColor rgb="FFEDEDED"/>
        </patternFill>
      </fill>
    </dxf>
    <dxf>
      <font>
        <b val="1"/>
      </font>
      <fill>
        <patternFill>
          <bgColor rgb="FFFFC000"/>
        </patternFill>
      </fill>
    </dxf>
  </dxfs>
  <colors>
    <indexedColors>
      <rgbColor rgb="FF000000"/>
      <rgbColor rgb="FFFFFFFF"/>
      <rgbColor rgb="FFFF0000"/>
      <rgbColor rgb="FF00FF00"/>
      <rgbColor rgb="FF0000FF"/>
      <rgbColor rgb="FFFFFF00"/>
      <rgbColor rgb="FFFF00FF"/>
      <rgbColor rgb="FF00FFFF"/>
      <rgbColor rgb="FF8B0000"/>
      <rgbColor rgb="FF008000"/>
      <rgbColor rgb="FF000080"/>
      <rgbColor rgb="FF7F6000"/>
      <rgbColor rgb="FF800080"/>
      <rgbColor rgb="FF008080"/>
      <rgbColor rgb="FFA9D08E"/>
      <rgbColor rgb="FF7F7F7F"/>
      <rgbColor rgb="FF9999FF"/>
      <rgbColor rgb="FF7B1E44"/>
      <rgbColor rgb="FFFFF2CC"/>
      <rgbColor rgb="FFDDEBF7"/>
      <rgbColor rgb="FF5B2C6F"/>
      <rgbColor rgb="FFFF8080"/>
      <rgbColor rgb="FF0563C1"/>
      <rgbColor rgb="FFBDD7EE"/>
      <rgbColor rgb="FF000080"/>
      <rgbColor rgb="FFFF00FF"/>
      <rgbColor rgb="FFFFFF00"/>
      <rgbColor rgb="FF00FFFF"/>
      <rgbColor rgb="FF800080"/>
      <rgbColor rgb="FF800000"/>
      <rgbColor rgb="FF008080"/>
      <rgbColor rgb="FF0000FF"/>
      <rgbColor rgb="FF00CCFF"/>
      <rgbColor rgb="FFEDEDED"/>
      <rgbColor rgb="FFE2EFDA"/>
      <rgbColor rgb="FFFCE4D6"/>
      <rgbColor rgb="FFE4DFEC"/>
      <rgbColor rgb="FFF8CBDA"/>
      <rgbColor rgb="FFCC99FF"/>
      <rgbColor rgb="FFF4B6B6"/>
      <rgbColor rgb="FF2E75B6"/>
      <rgbColor rgb="FF33CCCC"/>
      <rgbColor rgb="FF99CC00"/>
      <rgbColor rgb="FFFFC000"/>
      <rgbColor rgb="FFFF9900"/>
      <rgbColor rgb="FFC55A11"/>
      <rgbColor rgb="FF595959"/>
      <rgbColor rgb="FF969696"/>
      <rgbColor rgb="FF1F3864"/>
      <rgbColor rgb="FF548235"/>
      <rgbColor rgb="FF375623"/>
      <rgbColor rgb="FF1E4620"/>
      <rgbColor rgb="FF833C0B"/>
      <rgbColor rgb="FF7030A0"/>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google.com/search?q=Kestrel+Lake+Stamping+Co.+Holland+Michigan" TargetMode="External"/><Relationship Id="rId2" Type="http://schemas.openxmlformats.org/officeDocument/2006/relationships/hyperlink" Target="https://www.linkedin.com/search/results/people/?keywords=Kestrel%20Lake%20Stamping%20Co.%20safety%20OR%20EHS%20OR%20purchasing" TargetMode="External"/><Relationship Id="rId3" Type="http://schemas.openxmlformats.org/officeDocument/2006/relationships/hyperlink" Target="https://www.google.com/search?q=Sablewood+Molded+Plastics+Sterling+Heights+Michigan" TargetMode="External"/><Relationship Id="rId4" Type="http://schemas.openxmlformats.org/officeDocument/2006/relationships/hyperlink" Target="https://www.linkedin.com/search/results/people/?keywords=Sablewood%20Molded%20Plastics%20safety%20OR%20EHS%20OR%20purchasing" TargetMode="External"/><Relationship Id="rId5" Type="http://schemas.openxmlformats.org/officeDocument/2006/relationships/hyperlink" Target="https://www.google.com/search?q=Pinehaven+Gray+Iron+Muskegon+Michigan" TargetMode="External"/><Relationship Id="rId6" Type="http://schemas.openxmlformats.org/officeDocument/2006/relationships/hyperlink" Target="https://www.linkedin.com/search/results/people/?keywords=Pinehaven%20Gray%20Iron%20safety%20OR%20EHS%20OR%20purchasing" TargetMode="External"/><Relationship Id="rId7" Type="http://schemas.openxmlformats.org/officeDocument/2006/relationships/hyperlink" Target="https://www.google.com/search?q=Copperline+Cold+Storage+%26+Logistics+Saginaw+Michigan" TargetMode="External"/><Relationship Id="rId8" Type="http://schemas.openxmlformats.org/officeDocument/2006/relationships/hyperlink" Target="https://www.linkedin.com/search/results/people/?keywords=Copperline%20Cold%20Storage%20%26%20Logistics%20safety%20OR%20EHS%20OR%20purchasing" TargetMode="External"/><Relationship Id="rId9" Type="http://schemas.openxmlformats.org/officeDocument/2006/relationships/hyperlink" Target="https://www.google.com/search?q=Northvale+Builders+Lansing+Michigan" TargetMode="External"/><Relationship Id="rId10" Type="http://schemas.openxmlformats.org/officeDocument/2006/relationships/hyperlink" Target="https://www.linkedin.com/search/results/people/?keywords=Northvale%20Builders%20safety%20OR%20EHS%20OR%20purchasing" TargetMode="External"/><Relationship Id="rId1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2"/>
    <col collapsed="false" customWidth="true" hidden="false" outlineLevel="0" max="4" min="4" style="0" width="10"/>
    <col collapsed="false" customWidth="true" hidden="false" outlineLevel="0" max="5" min="5" style="0" width="11"/>
    <col collapsed="false" customWidth="true" hidden="false" outlineLevel="0" max="7" min="6" style="0" width="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c r="B4" s="5" t="n">
        <f aca="false">COUNTA(Companies!$B$2:$B$7000)</f>
        <v>5</v>
      </c>
    </row>
    <row r="5" customFormat="false" ht="15" hidden="false" customHeight="false" outlineLevel="0" collapsed="false">
      <c r="A5" s="4" t="s">
        <v>4</v>
      </c>
      <c r="B5" s="5" t="n">
        <f aca="false">COUNT(Companies!$AG$2:$AG$7000)</f>
        <v>0</v>
      </c>
    </row>
    <row r="6" customFormat="false" ht="15" hidden="false" customHeight="false" outlineLevel="0" collapsed="false">
      <c r="A6" s="4" t="s">
        <v>5</v>
      </c>
      <c r="B6" s="5" t="n">
        <f aca="false">COUNTIFS(Companies!$AM$2:$AM$7000,"&lt;&gt;",Companies!$AM$2:$AM$7000,"&lt;&gt;No reply yet")</f>
        <v>0</v>
      </c>
    </row>
    <row r="7" customFormat="false" ht="15" hidden="false" customHeight="false" outlineLevel="0" collapsed="false">
      <c r="A7" s="4" t="s">
        <v>6</v>
      </c>
      <c r="B7" s="6" t="n">
        <f aca="false">IF(B5=0,0,B6/B5)</f>
        <v>0</v>
      </c>
    </row>
    <row r="8" customFormat="false" ht="15" hidden="false" customHeight="false" outlineLevel="0" collapsed="false">
      <c r="A8" s="4" t="s">
        <v>7</v>
      </c>
      <c r="B8" s="5" t="n">
        <f aca="false">COUNTIF(Companies!$AN$2:$AN$7000,"Yes")</f>
        <v>0</v>
      </c>
    </row>
    <row r="9" customFormat="false" ht="15" hidden="false" customHeight="false" outlineLevel="0" collapsed="false">
      <c r="A9" s="4" t="s">
        <v>8</v>
      </c>
      <c r="B9" s="5" t="n">
        <f aca="false">COUNTIF(Companies!$C$2:$C$7000,"Customer")</f>
        <v>0</v>
      </c>
    </row>
    <row r="10" customFormat="false" ht="15" hidden="false" customHeight="false" outlineLevel="0" collapsed="false">
      <c r="A10" s="4" t="s">
        <v>9</v>
      </c>
      <c r="B10" s="5" t="n">
        <f aca="true">SUMPRODUCT((Companies!$AH$2:$AH$7000&lt;&gt;"")*(N(+Companies!$AH$2:$AH$7000)&lt;=TODAY())*((Companies!$AM$2:$AM$7000="")+(Companies!$AM$2:$AM$7000="No reply yet")))</f>
        <v>0</v>
      </c>
    </row>
    <row r="11" customFormat="false" ht="15" hidden="false" customHeight="false" outlineLevel="0" collapsed="false">
      <c r="A11" s="4" t="s">
        <v>10</v>
      </c>
      <c r="B11" s="5" t="n">
        <f aca="true">COUNTIFS(Companies!$AK$2:$AK$7000,"&lt;="&amp;TODAY(),Companies!$C$2:$C$7000,"&lt;&gt;Customer",Companies!$C$2:$C$7000,"&lt;&gt;Not a fit")</f>
        <v>0</v>
      </c>
    </row>
    <row r="14" customFormat="false" ht="15" hidden="false" customHeight="false" outlineLevel="0" collapsed="false">
      <c r="A14" s="3" t="s">
        <v>11</v>
      </c>
    </row>
    <row r="15" customFormat="false" ht="15" hidden="false" customHeight="false" outlineLevel="0" collapsed="false">
      <c r="A15" s="7" t="s">
        <v>12</v>
      </c>
      <c r="B15" s="7" t="s">
        <v>13</v>
      </c>
      <c r="C15" s="7" t="s">
        <v>14</v>
      </c>
      <c r="D15" s="7" t="s">
        <v>15</v>
      </c>
      <c r="E15" s="7" t="s">
        <v>16</v>
      </c>
    </row>
    <row r="16" customFormat="false" ht="15" hidden="false" customHeight="false" outlineLevel="0" collapsed="false">
      <c r="A16" s="8" t="s">
        <v>17</v>
      </c>
      <c r="B16" s="4" t="n">
        <f aca="false">COUNTIF(Companies!$C$2:$C$7000,A16)</f>
        <v>4</v>
      </c>
      <c r="C16" s="4" t="n">
        <f aca="false">COUNTIFS(Companies!$C$2:$C$7000,$A16,Companies!$D$2:$D$7000,"A")</f>
        <v>1</v>
      </c>
      <c r="D16" s="4" t="n">
        <f aca="false">COUNTIFS(Companies!$C$2:$C$7000,$A16,Companies!$D$2:$D$7000,"B")</f>
        <v>2</v>
      </c>
      <c r="E16" s="4" t="n">
        <f aca="false">COUNTIFS(Companies!$C$2:$C$7000,$A16,Companies!$D$2:$D$7000,"C")</f>
        <v>1</v>
      </c>
    </row>
    <row r="17" customFormat="false" ht="15" hidden="false" customHeight="false" outlineLevel="0" collapsed="false">
      <c r="A17" s="9" t="s">
        <v>18</v>
      </c>
      <c r="B17" s="4" t="n">
        <f aca="false">COUNTIF(Companies!$C$2:$C$7000,A17)</f>
        <v>0</v>
      </c>
      <c r="C17" s="4" t="n">
        <f aca="false">COUNTIFS(Companies!$C$2:$C$7000,$A17,Companies!$D$2:$D$7000,"A")</f>
        <v>0</v>
      </c>
      <c r="D17" s="4" t="n">
        <f aca="false">COUNTIFS(Companies!$C$2:$C$7000,$A17,Companies!$D$2:$D$7000,"B")</f>
        <v>0</v>
      </c>
      <c r="E17" s="4" t="n">
        <f aca="false">COUNTIFS(Companies!$C$2:$C$7000,$A17,Companies!$D$2:$D$7000,"C")</f>
        <v>0</v>
      </c>
    </row>
    <row r="18" customFormat="false" ht="15" hidden="false" customHeight="false" outlineLevel="0" collapsed="false">
      <c r="A18" s="10" t="s">
        <v>19</v>
      </c>
      <c r="B18" s="4" t="n">
        <f aca="false">COUNTIF(Companies!$C$2:$C$7000,A18)</f>
        <v>1</v>
      </c>
      <c r="C18" s="4" t="n">
        <f aca="false">COUNTIFS(Companies!$C$2:$C$7000,$A18,Companies!$D$2:$D$7000,"A")</f>
        <v>1</v>
      </c>
      <c r="D18" s="4" t="n">
        <f aca="false">COUNTIFS(Companies!$C$2:$C$7000,$A18,Companies!$D$2:$D$7000,"B")</f>
        <v>0</v>
      </c>
      <c r="E18" s="4" t="n">
        <f aca="false">COUNTIFS(Companies!$C$2:$C$7000,$A18,Companies!$D$2:$D$7000,"C")</f>
        <v>0</v>
      </c>
    </row>
    <row r="19" customFormat="false" ht="15" hidden="false" customHeight="false" outlineLevel="0" collapsed="false">
      <c r="A19" s="11" t="s">
        <v>20</v>
      </c>
      <c r="B19" s="4" t="n">
        <f aca="false">COUNTIF(Companies!$C$2:$C$7000,A19)</f>
        <v>0</v>
      </c>
      <c r="C19" s="4" t="n">
        <f aca="false">COUNTIFS(Companies!$C$2:$C$7000,$A19,Companies!$D$2:$D$7000,"A")</f>
        <v>0</v>
      </c>
      <c r="D19" s="4" t="n">
        <f aca="false">COUNTIFS(Companies!$C$2:$C$7000,$A19,Companies!$D$2:$D$7000,"B")</f>
        <v>0</v>
      </c>
      <c r="E19" s="4" t="n">
        <f aca="false">COUNTIFS(Companies!$C$2:$C$7000,$A19,Companies!$D$2:$D$7000,"C")</f>
        <v>0</v>
      </c>
    </row>
    <row r="20" customFormat="false" ht="15" hidden="false" customHeight="false" outlineLevel="0" collapsed="false">
      <c r="A20" s="12" t="s">
        <v>21</v>
      </c>
      <c r="B20" s="4" t="n">
        <f aca="false">COUNTIF(Companies!$C$2:$C$7000,A20)</f>
        <v>0</v>
      </c>
      <c r="C20" s="4" t="n">
        <f aca="false">COUNTIFS(Companies!$C$2:$C$7000,$A20,Companies!$D$2:$D$7000,"A")</f>
        <v>0</v>
      </c>
      <c r="D20" s="4" t="n">
        <f aca="false">COUNTIFS(Companies!$C$2:$C$7000,$A20,Companies!$D$2:$D$7000,"B")</f>
        <v>0</v>
      </c>
      <c r="E20" s="4" t="n">
        <f aca="false">COUNTIFS(Companies!$C$2:$C$7000,$A20,Companies!$D$2:$D$7000,"C")</f>
        <v>0</v>
      </c>
    </row>
    <row r="21" customFormat="false" ht="15" hidden="false" customHeight="false" outlineLevel="0" collapsed="false">
      <c r="A21" s="13" t="s">
        <v>22</v>
      </c>
      <c r="B21" s="4" t="n">
        <f aca="false">COUNTIF(Companies!$C$2:$C$7000,A21)</f>
        <v>0</v>
      </c>
      <c r="C21" s="4" t="n">
        <f aca="false">COUNTIFS(Companies!$C$2:$C$7000,$A21,Companies!$D$2:$D$7000,"A")</f>
        <v>0</v>
      </c>
      <c r="D21" s="4" t="n">
        <f aca="false">COUNTIFS(Companies!$C$2:$C$7000,$A21,Companies!$D$2:$D$7000,"B")</f>
        <v>0</v>
      </c>
      <c r="E21" s="4" t="n">
        <f aca="false">COUNTIFS(Companies!$C$2:$C$7000,$A21,Companies!$D$2:$D$7000,"C")</f>
        <v>0</v>
      </c>
    </row>
    <row r="22" customFormat="false" ht="15" hidden="false" customHeight="false" outlineLevel="0" collapsed="false">
      <c r="A22" s="14" t="s">
        <v>23</v>
      </c>
      <c r="B22" s="4" t="n">
        <f aca="false">COUNTIF(Companies!$C$2:$C$7000,A22)</f>
        <v>0</v>
      </c>
      <c r="C22" s="4" t="n">
        <f aca="false">COUNTIFS(Companies!$C$2:$C$7000,$A22,Companies!$D$2:$D$7000,"A")</f>
        <v>0</v>
      </c>
      <c r="D22" s="4" t="n">
        <f aca="false">COUNTIFS(Companies!$C$2:$C$7000,$A22,Companies!$D$2:$D$7000,"B")</f>
        <v>0</v>
      </c>
      <c r="E22" s="4" t="n">
        <f aca="false">COUNTIFS(Companies!$C$2:$C$7000,$A22,Companies!$D$2:$D$7000,"C")</f>
        <v>0</v>
      </c>
    </row>
    <row r="23" customFormat="false" ht="15" hidden="false" customHeight="false" outlineLevel="0" collapsed="false">
      <c r="A23" s="15" t="s">
        <v>24</v>
      </c>
      <c r="B23" s="4" t="n">
        <f aca="false">COUNTIF(Companies!$C$2:$C$7000,A23)</f>
        <v>0</v>
      </c>
      <c r="C23" s="4" t="n">
        <f aca="false">COUNTIFS(Companies!$C$2:$C$7000,$A23,Companies!$D$2:$D$7000,"A")</f>
        <v>0</v>
      </c>
      <c r="D23" s="4" t="n">
        <f aca="false">COUNTIFS(Companies!$C$2:$C$7000,$A23,Companies!$D$2:$D$7000,"B")</f>
        <v>0</v>
      </c>
      <c r="E23" s="4" t="n">
        <f aca="false">COUNTIFS(Companies!$C$2:$C$7000,$A23,Companies!$D$2:$D$7000,"C")</f>
        <v>0</v>
      </c>
    </row>
    <row r="24" customFormat="false" ht="15" hidden="false" customHeight="false" outlineLevel="0" collapsed="false">
      <c r="A24" s="16" t="s">
        <v>25</v>
      </c>
      <c r="B24" s="4" t="n">
        <f aca="false">COUNTIF(Companies!$C$2:$C$7000,A24)</f>
        <v>0</v>
      </c>
      <c r="C24" s="4" t="n">
        <f aca="false">COUNTIFS(Companies!$C$2:$C$7000,$A24,Companies!$D$2:$D$7000,"A")</f>
        <v>0</v>
      </c>
      <c r="D24" s="4" t="n">
        <f aca="false">COUNTIFS(Companies!$C$2:$C$7000,$A24,Companies!$D$2:$D$7000,"B")</f>
        <v>0</v>
      </c>
      <c r="E24" s="4" t="n">
        <f aca="false">COUNTIFS(Companies!$C$2:$C$7000,$A24,Companies!$D$2:$D$7000,"C")</f>
        <v>0</v>
      </c>
    </row>
    <row r="25" customFormat="false" ht="15" hidden="false" customHeight="false" outlineLevel="0" collapsed="false">
      <c r="A25" s="17" t="s">
        <v>26</v>
      </c>
      <c r="B25" s="4" t="n">
        <f aca="false">COUNTIF(Companies!$C$2:$C$7000,A25)</f>
        <v>0</v>
      </c>
      <c r="C25" s="4" t="n">
        <f aca="false">COUNTIFS(Companies!$C$2:$C$7000,$A25,Companies!$D$2:$D$7000,"A")</f>
        <v>0</v>
      </c>
      <c r="D25" s="4" t="n">
        <f aca="false">COUNTIFS(Companies!$C$2:$C$7000,$A25,Companies!$D$2:$D$7000,"B")</f>
        <v>0</v>
      </c>
      <c r="E25" s="4" t="n">
        <f aca="false">COUNTIFS(Companies!$C$2:$C$7000,$A25,Companies!$D$2:$D$7000,"C")</f>
        <v>0</v>
      </c>
    </row>
    <row r="28" customFormat="false" ht="15" hidden="false" customHeight="false" outlineLevel="0" collapsed="false">
      <c r="A28" s="3" t="s">
        <v>27</v>
      </c>
    </row>
    <row r="29" customFormat="false" ht="15" hidden="false" customHeight="false" outlineLevel="0" collapsed="false">
      <c r="A29" s="7" t="s">
        <v>28</v>
      </c>
      <c r="B29" s="7" t="s">
        <v>13</v>
      </c>
      <c r="C29" s="7" t="s">
        <v>29</v>
      </c>
      <c r="D29" s="7" t="s">
        <v>5</v>
      </c>
      <c r="E29" s="7" t="s">
        <v>6</v>
      </c>
      <c r="F29" s="7" t="s">
        <v>30</v>
      </c>
      <c r="G29" s="7" t="s">
        <v>8</v>
      </c>
    </row>
    <row r="30" customFormat="false" ht="15" hidden="false" customHeight="false" outlineLevel="0" collapsed="false">
      <c r="A30" s="4" t="s">
        <v>31</v>
      </c>
      <c r="B30" s="4" t="n">
        <f aca="false">COUNTIF(Companies!$F$2:$F$7000,A30)</f>
        <v>1</v>
      </c>
      <c r="C30" s="4" t="n">
        <f aca="false">COUNTIFS(Companies!$F$2:$F$7000,A30,Companies!$AG$2:$AG$7000,"&lt;&gt;")</f>
        <v>0</v>
      </c>
      <c r="D30" s="4" t="n">
        <f aca="false">COUNTIFS(Companies!$F$2:$F$7000,A30,Companies!$AM$2:$AM$7000,"&lt;&gt;",Companies!$AM$2:$AM$7000,"&lt;&gt;No reply yet")</f>
        <v>0</v>
      </c>
      <c r="E30" s="18" t="n">
        <f aca="false">IF(C30=0,0,D30/C30)</f>
        <v>0</v>
      </c>
      <c r="F30" s="4" t="n">
        <f aca="false">COUNTIFS(Companies!$F$2:$F$7000,A30,Companies!$AN$2:$AN$7000,"Yes")</f>
        <v>0</v>
      </c>
      <c r="G30" s="4" t="n">
        <f aca="false">COUNTIFS(Companies!$F$2:$F$7000,A30,Companies!$C$2:$C$7000,"Customer")</f>
        <v>0</v>
      </c>
    </row>
    <row r="31" customFormat="false" ht="15" hidden="false" customHeight="false" outlineLevel="0" collapsed="false">
      <c r="A31" s="4" t="s">
        <v>32</v>
      </c>
      <c r="B31" s="4" t="n">
        <f aca="false">COUNTIF(Companies!$F$2:$F$7000,A31)</f>
        <v>1</v>
      </c>
      <c r="C31" s="4" t="n">
        <f aca="false">COUNTIFS(Companies!$F$2:$F$7000,A31,Companies!$AG$2:$AG$7000,"&lt;&gt;")</f>
        <v>0</v>
      </c>
      <c r="D31" s="4" t="n">
        <f aca="false">COUNTIFS(Companies!$F$2:$F$7000,A31,Companies!$AM$2:$AM$7000,"&lt;&gt;",Companies!$AM$2:$AM$7000,"&lt;&gt;No reply yet")</f>
        <v>0</v>
      </c>
      <c r="E31" s="18" t="n">
        <f aca="false">IF(C31=0,0,D31/C31)</f>
        <v>0</v>
      </c>
      <c r="F31" s="4" t="n">
        <f aca="false">COUNTIFS(Companies!$F$2:$F$7000,A31,Companies!$AN$2:$AN$7000,"Yes")</f>
        <v>0</v>
      </c>
      <c r="G31" s="4" t="n">
        <f aca="false">COUNTIFS(Companies!$F$2:$F$7000,A31,Companies!$C$2:$C$7000,"Customer")</f>
        <v>0</v>
      </c>
    </row>
    <row r="32" customFormat="false" ht="15" hidden="false" customHeight="false" outlineLevel="0" collapsed="false">
      <c r="A32" s="4" t="s">
        <v>33</v>
      </c>
      <c r="B32" s="4" t="n">
        <f aca="false">COUNTIF(Companies!$F$2:$F$7000,A32)</f>
        <v>0</v>
      </c>
      <c r="C32" s="4" t="n">
        <f aca="false">COUNTIFS(Companies!$F$2:$F$7000,A32,Companies!$AG$2:$AG$7000,"&lt;&gt;")</f>
        <v>0</v>
      </c>
      <c r="D32" s="4" t="n">
        <f aca="false">COUNTIFS(Companies!$F$2:$F$7000,A32,Companies!$AM$2:$AM$7000,"&lt;&gt;",Companies!$AM$2:$AM$7000,"&lt;&gt;No reply yet")</f>
        <v>0</v>
      </c>
      <c r="E32" s="18" t="n">
        <f aca="false">IF(C32=0,0,D32/C32)</f>
        <v>0</v>
      </c>
      <c r="F32" s="4" t="n">
        <f aca="false">COUNTIFS(Companies!$F$2:$F$7000,A32,Companies!$AN$2:$AN$7000,"Yes")</f>
        <v>0</v>
      </c>
      <c r="G32" s="4" t="n">
        <f aca="false">COUNTIFS(Companies!$F$2:$F$7000,A32,Companies!$C$2:$C$7000,"Customer")</f>
        <v>0</v>
      </c>
    </row>
    <row r="33" customFormat="false" ht="15" hidden="false" customHeight="false" outlineLevel="0" collapsed="false">
      <c r="A33" s="4" t="s">
        <v>34</v>
      </c>
      <c r="B33" s="4" t="n">
        <f aca="false">COUNTIF(Companies!$F$2:$F$7000,A33)</f>
        <v>0</v>
      </c>
      <c r="C33" s="4" t="n">
        <f aca="false">COUNTIFS(Companies!$F$2:$F$7000,A33,Companies!$AG$2:$AG$7000,"&lt;&gt;")</f>
        <v>0</v>
      </c>
      <c r="D33" s="4" t="n">
        <f aca="false">COUNTIFS(Companies!$F$2:$F$7000,A33,Companies!$AM$2:$AM$7000,"&lt;&gt;",Companies!$AM$2:$AM$7000,"&lt;&gt;No reply yet")</f>
        <v>0</v>
      </c>
      <c r="E33" s="18" t="n">
        <f aca="false">IF(C33=0,0,D33/C33)</f>
        <v>0</v>
      </c>
      <c r="F33" s="4" t="n">
        <f aca="false">COUNTIFS(Companies!$F$2:$F$7000,A33,Companies!$AN$2:$AN$7000,"Yes")</f>
        <v>0</v>
      </c>
      <c r="G33" s="4" t="n">
        <f aca="false">COUNTIFS(Companies!$F$2:$F$7000,A33,Companies!$C$2:$C$7000,"Customer")</f>
        <v>0</v>
      </c>
    </row>
    <row r="34" customFormat="false" ht="15" hidden="false" customHeight="false" outlineLevel="0" collapsed="false">
      <c r="A34" s="4" t="s">
        <v>35</v>
      </c>
      <c r="B34" s="4" t="n">
        <f aca="false">COUNTIF(Companies!$F$2:$F$7000,A34)</f>
        <v>1</v>
      </c>
      <c r="C34" s="4" t="n">
        <f aca="false">COUNTIFS(Companies!$F$2:$F$7000,A34,Companies!$AG$2:$AG$7000,"&lt;&gt;")</f>
        <v>0</v>
      </c>
      <c r="D34" s="4" t="n">
        <f aca="false">COUNTIFS(Companies!$F$2:$F$7000,A34,Companies!$AM$2:$AM$7000,"&lt;&gt;",Companies!$AM$2:$AM$7000,"&lt;&gt;No reply yet")</f>
        <v>0</v>
      </c>
      <c r="E34" s="18" t="n">
        <f aca="false">IF(C34=0,0,D34/C34)</f>
        <v>0</v>
      </c>
      <c r="F34" s="4" t="n">
        <f aca="false">COUNTIFS(Companies!$F$2:$F$7000,A34,Companies!$AN$2:$AN$7000,"Yes")</f>
        <v>0</v>
      </c>
      <c r="G34" s="4" t="n">
        <f aca="false">COUNTIFS(Companies!$F$2:$F$7000,A34,Companies!$C$2:$C$7000,"Customer")</f>
        <v>0</v>
      </c>
    </row>
    <row r="35" customFormat="false" ht="15" hidden="false" customHeight="false" outlineLevel="0" collapsed="false">
      <c r="A35" s="4" t="s">
        <v>36</v>
      </c>
      <c r="B35" s="4" t="n">
        <f aca="false">COUNTIF(Companies!$F$2:$F$7000,A35)</f>
        <v>1</v>
      </c>
      <c r="C35" s="4" t="n">
        <f aca="false">COUNTIFS(Companies!$F$2:$F$7000,A35,Companies!$AG$2:$AG$7000,"&lt;&gt;")</f>
        <v>0</v>
      </c>
      <c r="D35" s="4" t="n">
        <f aca="false">COUNTIFS(Companies!$F$2:$F$7000,A35,Companies!$AM$2:$AM$7000,"&lt;&gt;",Companies!$AM$2:$AM$7000,"&lt;&gt;No reply yet")</f>
        <v>0</v>
      </c>
      <c r="E35" s="18" t="n">
        <f aca="false">IF(C35=0,0,D35/C35)</f>
        <v>0</v>
      </c>
      <c r="F35" s="4" t="n">
        <f aca="false">COUNTIFS(Companies!$F$2:$F$7000,A35,Companies!$AN$2:$AN$7000,"Yes")</f>
        <v>0</v>
      </c>
      <c r="G35" s="4" t="n">
        <f aca="false">COUNTIFS(Companies!$F$2:$F$7000,A35,Companies!$C$2:$C$7000,"Customer")</f>
        <v>0</v>
      </c>
    </row>
    <row r="36" customFormat="false" ht="15" hidden="false" customHeight="false" outlineLevel="0" collapsed="false">
      <c r="A36" s="4" t="s">
        <v>37</v>
      </c>
      <c r="B36" s="4" t="n">
        <f aca="false">COUNTIF(Companies!$F$2:$F$7000,A36)</f>
        <v>1</v>
      </c>
      <c r="C36" s="4" t="n">
        <f aca="false">COUNTIFS(Companies!$F$2:$F$7000,A36,Companies!$AG$2:$AG$7000,"&lt;&gt;")</f>
        <v>0</v>
      </c>
      <c r="D36" s="4" t="n">
        <f aca="false">COUNTIFS(Companies!$F$2:$F$7000,A36,Companies!$AM$2:$AM$7000,"&lt;&gt;",Companies!$AM$2:$AM$7000,"&lt;&gt;No reply yet")</f>
        <v>0</v>
      </c>
      <c r="E36" s="18" t="n">
        <f aca="false">IF(C36=0,0,D36/C36)</f>
        <v>0</v>
      </c>
      <c r="F36" s="4" t="n">
        <f aca="false">COUNTIFS(Companies!$F$2:$F$7000,A36,Companies!$AN$2:$AN$7000,"Yes")</f>
        <v>0</v>
      </c>
      <c r="G36" s="4" t="n">
        <f aca="false">COUNTIFS(Companies!$F$2:$F$7000,A36,Companies!$C$2:$C$7000,"Customer")</f>
        <v>0</v>
      </c>
    </row>
    <row r="37" customFormat="false" ht="15" hidden="false" customHeight="false" outlineLevel="0" collapsed="false">
      <c r="A37" s="4" t="s">
        <v>38</v>
      </c>
      <c r="B37" s="4" t="n">
        <f aca="false">COUNTIF(Companies!$F$2:$F$7000,A37)</f>
        <v>0</v>
      </c>
      <c r="C37" s="4" t="n">
        <f aca="false">COUNTIFS(Companies!$F$2:$F$7000,A37,Companies!$AG$2:$AG$7000,"&lt;&gt;")</f>
        <v>0</v>
      </c>
      <c r="D37" s="4" t="n">
        <f aca="false">COUNTIFS(Companies!$F$2:$F$7000,A37,Companies!$AM$2:$AM$7000,"&lt;&gt;",Companies!$AM$2:$AM$7000,"&lt;&gt;No reply yet")</f>
        <v>0</v>
      </c>
      <c r="E37" s="18" t="n">
        <f aca="false">IF(C37=0,0,D37/C37)</f>
        <v>0</v>
      </c>
      <c r="F37" s="4" t="n">
        <f aca="false">COUNTIFS(Companies!$F$2:$F$7000,A37,Companies!$AN$2:$AN$7000,"Yes")</f>
        <v>0</v>
      </c>
      <c r="G37" s="4" t="n">
        <f aca="false">COUNTIFS(Companies!$F$2:$F$7000,A37,Companies!$C$2:$C$7000,"Customer")</f>
        <v>0</v>
      </c>
    </row>
    <row r="38" customFormat="false" ht="15" hidden="false" customHeight="false" outlineLevel="0" collapsed="false">
      <c r="A38" s="4" t="s">
        <v>39</v>
      </c>
      <c r="B38" s="4" t="n">
        <f aca="false">COUNTIF(Companies!$F$2:$F$7000,A38)</f>
        <v>0</v>
      </c>
      <c r="C38" s="4" t="n">
        <f aca="false">COUNTIFS(Companies!$F$2:$F$7000,A38,Companies!$AG$2:$AG$7000,"&lt;&gt;")</f>
        <v>0</v>
      </c>
      <c r="D38" s="4" t="n">
        <f aca="false">COUNTIFS(Companies!$F$2:$F$7000,A38,Companies!$AM$2:$AM$7000,"&lt;&gt;",Companies!$AM$2:$AM$7000,"&lt;&gt;No reply yet")</f>
        <v>0</v>
      </c>
      <c r="E38" s="18" t="n">
        <f aca="false">IF(C38=0,0,D38/C38)</f>
        <v>0</v>
      </c>
      <c r="F38" s="4" t="n">
        <f aca="false">COUNTIFS(Companies!$F$2:$F$7000,A38,Companies!$AN$2:$AN$7000,"Yes")</f>
        <v>0</v>
      </c>
      <c r="G38" s="4" t="n">
        <f aca="false">COUNTIFS(Companies!$F$2:$F$7000,A38,Companies!$C$2:$C$7000,"Customer")</f>
        <v>0</v>
      </c>
    </row>
    <row r="39" customFormat="false" ht="15" hidden="false" customHeight="false" outlineLevel="0" collapsed="false">
      <c r="A39" s="4" t="s">
        <v>40</v>
      </c>
      <c r="B39" s="4" t="n">
        <f aca="false">COUNTIF(Companies!$F$2:$F$7000,A39)</f>
        <v>0</v>
      </c>
      <c r="C39" s="4" t="n">
        <f aca="false">COUNTIFS(Companies!$F$2:$F$7000,A39,Companies!$AG$2:$AG$7000,"&lt;&gt;")</f>
        <v>0</v>
      </c>
      <c r="D39" s="4" t="n">
        <f aca="false">COUNTIFS(Companies!$F$2:$F$7000,A39,Companies!$AM$2:$AM$7000,"&lt;&gt;",Companies!$AM$2:$AM$7000,"&lt;&gt;No reply yet")</f>
        <v>0</v>
      </c>
      <c r="E39" s="18" t="n">
        <f aca="false">IF(C39=0,0,D39/C39)</f>
        <v>0</v>
      </c>
      <c r="F39" s="4" t="n">
        <f aca="false">COUNTIFS(Companies!$F$2:$F$7000,A39,Companies!$AN$2:$AN$7000,"Yes")</f>
        <v>0</v>
      </c>
      <c r="G39" s="4" t="n">
        <f aca="false">COUNTIFS(Companies!$F$2:$F$7000,A39,Companies!$C$2:$C$7000,"Customer")</f>
        <v>0</v>
      </c>
    </row>
    <row r="40" customFormat="false" ht="15" hidden="false" customHeight="false" outlineLevel="0" collapsed="false">
      <c r="A40" s="4" t="s">
        <v>41</v>
      </c>
      <c r="B40" s="4" t="n">
        <f aca="false">COUNTIF(Companies!$F$2:$F$7000,A40)</f>
        <v>0</v>
      </c>
      <c r="C40" s="4" t="n">
        <f aca="false">COUNTIFS(Companies!$F$2:$F$7000,A40,Companies!$AG$2:$AG$7000,"&lt;&gt;")</f>
        <v>0</v>
      </c>
      <c r="D40" s="4" t="n">
        <f aca="false">COUNTIFS(Companies!$F$2:$F$7000,A40,Companies!$AM$2:$AM$7000,"&lt;&gt;",Companies!$AM$2:$AM$7000,"&lt;&gt;No reply yet")</f>
        <v>0</v>
      </c>
      <c r="E40" s="18" t="n">
        <f aca="false">IF(C40=0,0,D40/C40)</f>
        <v>0</v>
      </c>
      <c r="F40" s="4" t="n">
        <f aca="false">COUNTIFS(Companies!$F$2:$F$7000,A40,Companies!$AN$2:$AN$7000,"Yes")</f>
        <v>0</v>
      </c>
      <c r="G40" s="4" t="n">
        <f aca="false">COUNTIFS(Companies!$F$2:$F$7000,A40,Companies!$C$2:$C$7000,"Customer")</f>
        <v>0</v>
      </c>
    </row>
    <row r="41" customFormat="false" ht="15" hidden="false" customHeight="false" outlineLevel="0" collapsed="false">
      <c r="A41" s="4" t="s">
        <v>42</v>
      </c>
      <c r="B41" s="4" t="n">
        <f aca="false">COUNTIF(Companies!$F$2:$F$7000,A41)</f>
        <v>0</v>
      </c>
      <c r="C41" s="4" t="n">
        <f aca="false">COUNTIFS(Companies!$F$2:$F$7000,A41,Companies!$AG$2:$AG$7000,"&lt;&gt;")</f>
        <v>0</v>
      </c>
      <c r="D41" s="4" t="n">
        <f aca="false">COUNTIFS(Companies!$F$2:$F$7000,A41,Companies!$AM$2:$AM$7000,"&lt;&gt;",Companies!$AM$2:$AM$7000,"&lt;&gt;No reply yet")</f>
        <v>0</v>
      </c>
      <c r="E41" s="18" t="n">
        <f aca="false">IF(C41=0,0,D41/C41)</f>
        <v>0</v>
      </c>
      <c r="F41" s="4" t="n">
        <f aca="false">COUNTIFS(Companies!$F$2:$F$7000,A41,Companies!$AN$2:$AN$7000,"Yes")</f>
        <v>0</v>
      </c>
      <c r="G41" s="4" t="n">
        <f aca="false">COUNTIFS(Companies!$F$2:$F$7000,A41,Companies!$C$2:$C$7000,"Customer")</f>
        <v>0</v>
      </c>
    </row>
    <row r="42" customFormat="false" ht="15" hidden="false" customHeight="false" outlineLevel="0" collapsed="false">
      <c r="A42" s="4" t="s">
        <v>43</v>
      </c>
      <c r="B42" s="4" t="n">
        <f aca="false">COUNTIF(Companies!$F$2:$F$7000,A42)</f>
        <v>0</v>
      </c>
      <c r="C42" s="4" t="n">
        <f aca="false">COUNTIFS(Companies!$F$2:$F$7000,A42,Companies!$AG$2:$AG$7000,"&lt;&gt;")</f>
        <v>0</v>
      </c>
      <c r="D42" s="4" t="n">
        <f aca="false">COUNTIFS(Companies!$F$2:$F$7000,A42,Companies!$AM$2:$AM$7000,"&lt;&gt;",Companies!$AM$2:$AM$7000,"&lt;&gt;No reply yet")</f>
        <v>0</v>
      </c>
      <c r="E42" s="18" t="n">
        <f aca="false">IF(C42=0,0,D42/C42)</f>
        <v>0</v>
      </c>
      <c r="F42" s="4" t="n">
        <f aca="false">COUNTIFS(Companies!$F$2:$F$7000,A42,Companies!$AN$2:$AN$7000,"Yes")</f>
        <v>0</v>
      </c>
      <c r="G42" s="4" t="n">
        <f aca="false">COUNTIFS(Companies!$F$2:$F$7000,A42,Companies!$C$2:$C$7000,"Customer")</f>
        <v>0</v>
      </c>
    </row>
    <row r="43" customFormat="false" ht="15" hidden="false" customHeight="false" outlineLevel="0" collapsed="false">
      <c r="A43" s="4" t="s">
        <v>44</v>
      </c>
      <c r="B43" s="4" t="n">
        <f aca="false">COUNTIF(Companies!$F$2:$F$7000,A43)</f>
        <v>0</v>
      </c>
      <c r="C43" s="4" t="n">
        <f aca="false">COUNTIFS(Companies!$F$2:$F$7000,A43,Companies!$AG$2:$AG$7000,"&lt;&gt;")</f>
        <v>0</v>
      </c>
      <c r="D43" s="4" t="n">
        <f aca="false">COUNTIFS(Companies!$F$2:$F$7000,A43,Companies!$AM$2:$AM$7000,"&lt;&gt;",Companies!$AM$2:$AM$7000,"&lt;&gt;No reply yet")</f>
        <v>0</v>
      </c>
      <c r="E43" s="18" t="n">
        <f aca="false">IF(C43=0,0,D43/C43)</f>
        <v>0</v>
      </c>
      <c r="F43" s="4" t="n">
        <f aca="false">COUNTIFS(Companies!$F$2:$F$7000,A43,Companies!$AN$2:$AN$7000,"Yes")</f>
        <v>0</v>
      </c>
      <c r="G43" s="4" t="n">
        <f aca="false">COUNTIFS(Companies!$F$2:$F$7000,A43,Companies!$C$2:$C$7000,"Customer")</f>
        <v>0</v>
      </c>
    </row>
    <row r="44" customFormat="false" ht="15" hidden="false" customHeight="false" outlineLevel="0" collapsed="false">
      <c r="A44" s="4" t="s">
        <v>45</v>
      </c>
      <c r="B44" s="4" t="n">
        <f aca="false">COUNTIF(Companies!$F$2:$F$7000,A44)</f>
        <v>0</v>
      </c>
      <c r="C44" s="4" t="n">
        <f aca="false">COUNTIFS(Companies!$F$2:$F$7000,A44,Companies!$AG$2:$AG$7000,"&lt;&gt;")</f>
        <v>0</v>
      </c>
      <c r="D44" s="4" t="n">
        <f aca="false">COUNTIFS(Companies!$F$2:$F$7000,A44,Companies!$AM$2:$AM$7000,"&lt;&gt;",Companies!$AM$2:$AM$7000,"&lt;&gt;No reply yet")</f>
        <v>0</v>
      </c>
      <c r="E44" s="18" t="n">
        <f aca="false">IF(C44=0,0,D44/C44)</f>
        <v>0</v>
      </c>
      <c r="F44" s="4" t="n">
        <f aca="false">COUNTIFS(Companies!$F$2:$F$7000,A44,Companies!$AN$2:$AN$7000,"Yes")</f>
        <v>0</v>
      </c>
      <c r="G44" s="4" t="n">
        <f aca="false">COUNTIFS(Companies!$F$2:$F$7000,A44,Companies!$C$2:$C$7000,"Customer")</f>
        <v>0</v>
      </c>
    </row>
    <row r="47" customFormat="false" ht="15" hidden="false" customHeight="false" outlineLevel="0" collapsed="false">
      <c r="A47" s="3" t="s">
        <v>46</v>
      </c>
    </row>
    <row r="48" customFormat="false" ht="15" hidden="false" customHeight="false" outlineLevel="0" collapsed="false">
      <c r="A48" s="7" t="s">
        <v>47</v>
      </c>
      <c r="B48" s="7" t="s">
        <v>29</v>
      </c>
      <c r="C48" s="7" t="s">
        <v>5</v>
      </c>
      <c r="D48" s="7" t="s">
        <v>6</v>
      </c>
      <c r="E48" s="7" t="s">
        <v>30</v>
      </c>
    </row>
    <row r="49" customFormat="false" ht="15" hidden="false" customHeight="false" outlineLevel="0" collapsed="false">
      <c r="A49" s="4" t="s">
        <v>48</v>
      </c>
      <c r="B49" s="4" t="n">
        <f aca="false">COUNTIFS(Companies!$AF$2:$AF$7000,A49,Companies!$AG$2:$AG$7000,"&lt;&gt;")</f>
        <v>0</v>
      </c>
      <c r="C49" s="4" t="n">
        <f aca="false">COUNTIFS(Companies!$AF$2:$AF$7000,A49,Companies!$AM$2:$AM$7000,"&lt;&gt;",Companies!$AM$2:$AM$7000,"&lt;&gt;No reply yet")</f>
        <v>0</v>
      </c>
      <c r="D49" s="18" t="n">
        <f aca="false">IF(B49=0,0,C49/B49)</f>
        <v>0</v>
      </c>
      <c r="E49" s="4" t="n">
        <f aca="false">COUNTIFS(Companies!$AF$2:$AF$7000,A49,Companies!$AN$2:$AN$7000,"Yes")</f>
        <v>0</v>
      </c>
    </row>
    <row r="50" customFormat="false" ht="15" hidden="false" customHeight="false" outlineLevel="0" collapsed="false">
      <c r="A50" s="4" t="s">
        <v>49</v>
      </c>
      <c r="B50" s="4" t="n">
        <f aca="false">COUNTIFS(Companies!$AF$2:$AF$7000,A50,Companies!$AG$2:$AG$7000,"&lt;&gt;")</f>
        <v>0</v>
      </c>
      <c r="C50" s="4" t="n">
        <f aca="false">COUNTIFS(Companies!$AF$2:$AF$7000,A50,Companies!$AM$2:$AM$7000,"&lt;&gt;",Companies!$AM$2:$AM$7000,"&lt;&gt;No reply yet")</f>
        <v>0</v>
      </c>
      <c r="D50" s="18" t="n">
        <f aca="false">IF(B50=0,0,C50/B50)</f>
        <v>0</v>
      </c>
      <c r="E50" s="4" t="n">
        <f aca="false">COUNTIFS(Companies!$AF$2:$AF$7000,A50,Companies!$AN$2:$AN$7000,"Yes")</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7.35" hidden="false" customHeight="false" outlineLevel="0" collapsed="false">
      <c r="A1" s="1" t="s">
        <v>50</v>
      </c>
    </row>
    <row r="2" customFormat="false" ht="15" hidden="false" customHeight="false" outlineLevel="0" collapsed="false">
      <c r="A2" s="19"/>
    </row>
    <row r="3" customFormat="false" ht="15" hidden="false" customHeight="false" outlineLevel="0" collapsed="false">
      <c r="A3" s="19" t="s">
        <v>51</v>
      </c>
    </row>
    <row r="4" customFormat="false" ht="15" hidden="false" customHeight="false" outlineLevel="0" collapsed="false">
      <c r="A4" s="19" t="s">
        <v>52</v>
      </c>
    </row>
    <row r="5" customFormat="false" ht="15" hidden="false" customHeight="false" outlineLevel="0" collapsed="false">
      <c r="A5" s="20" t="s">
        <v>53</v>
      </c>
    </row>
    <row r="6" customFormat="false" ht="15" hidden="false" customHeight="false" outlineLevel="0" collapsed="false">
      <c r="A6" s="21" t="s">
        <v>54</v>
      </c>
    </row>
    <row r="7" customFormat="false" ht="15" hidden="false" customHeight="false" outlineLevel="0" collapsed="false">
      <c r="A7" s="22" t="s">
        <v>55</v>
      </c>
    </row>
    <row r="8" customFormat="false" ht="15" hidden="false" customHeight="false" outlineLevel="0" collapsed="false">
      <c r="A8" s="23" t="s">
        <v>56</v>
      </c>
    </row>
    <row r="9" customFormat="false" ht="15" hidden="false" customHeight="false" outlineLevel="0" collapsed="false">
      <c r="A9" s="19" t="s">
        <v>57</v>
      </c>
    </row>
    <row r="10" customFormat="false" ht="15" hidden="false" customHeight="false" outlineLevel="0" collapsed="false">
      <c r="A10" s="19" t="s">
        <v>58</v>
      </c>
    </row>
    <row r="11" customFormat="false" ht="15" hidden="false" customHeight="false" outlineLevel="0" collapsed="false">
      <c r="A11" s="19" t="s">
        <v>59</v>
      </c>
    </row>
    <row r="12" customFormat="false" ht="15" hidden="false" customHeight="false" outlineLevel="0" collapsed="false">
      <c r="A12" s="19" t="s">
        <v>60</v>
      </c>
    </row>
    <row r="13" customFormat="false" ht="15" hidden="false" customHeight="false" outlineLevel="0" collapsed="false">
      <c r="A13" s="19" t="s">
        <v>61</v>
      </c>
    </row>
    <row r="14" customFormat="false" ht="15" hidden="false" customHeight="false" outlineLevel="0" collapsed="false">
      <c r="A14" s="19" t="s">
        <v>62</v>
      </c>
    </row>
    <row r="15" customFormat="false" ht="15" hidden="false" customHeight="false" outlineLevel="0" collapsed="false">
      <c r="A15" s="19" t="s">
        <v>63</v>
      </c>
    </row>
    <row r="16" customFormat="false" ht="15" hidden="false" customHeight="false" outlineLevel="0" collapsed="false">
      <c r="A16" s="19"/>
    </row>
    <row r="17" customFormat="false" ht="15" hidden="false" customHeight="false" outlineLevel="0" collapsed="false">
      <c r="A17" s="24" t="s">
        <v>64</v>
      </c>
    </row>
    <row r="18" customFormat="false" ht="15" hidden="false" customHeight="false" outlineLevel="0" collapsed="false">
      <c r="A18" s="19" t="s">
        <v>65</v>
      </c>
    </row>
    <row r="19" customFormat="false" ht="15" hidden="false" customHeight="false" outlineLevel="0" collapsed="false">
      <c r="A19" s="19" t="s">
        <v>66</v>
      </c>
    </row>
    <row r="20" customFormat="false" ht="15" hidden="false" customHeight="false" outlineLevel="0" collapsed="false">
      <c r="A20" s="19" t="s">
        <v>67</v>
      </c>
    </row>
    <row r="21" customFormat="false" ht="15" hidden="false" customHeight="false" outlineLevel="0" collapsed="false">
      <c r="A21" s="19"/>
    </row>
    <row r="22" customFormat="false" ht="15" hidden="false" customHeight="false" outlineLevel="0" collapsed="false">
      <c r="A22" s="24" t="s">
        <v>68</v>
      </c>
    </row>
    <row r="23" customFormat="false" ht="15" hidden="false" customHeight="false" outlineLevel="0" collapsed="false">
      <c r="A23" s="19" t="s">
        <v>69</v>
      </c>
    </row>
    <row r="24" customFormat="false" ht="15" hidden="false" customHeight="false" outlineLevel="0" collapsed="false">
      <c r="A24" s="19" t="s">
        <v>70</v>
      </c>
    </row>
    <row r="25" customFormat="false" ht="15" hidden="false" customHeight="false" outlineLevel="0" collapsed="false">
      <c r="A25" s="19"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6"/>
    <col collapsed="false" customWidth="true" hidden="false" outlineLevel="0" max="5" min="5" style="0" width="9"/>
    <col collapsed="false" customWidth="true" hidden="false" outlineLevel="0" max="6" min="6" style="0" width="26"/>
    <col collapsed="false" customWidth="true" hidden="false" outlineLevel="0" max="7" min="7" style="0" width="32"/>
    <col collapsed="false" customWidth="true" hidden="false" outlineLevel="0" max="8" min="8" style="0" width="24"/>
    <col collapsed="false" customWidth="true" hidden="false" outlineLevel="0" max="9" min="9" style="0" width="16"/>
    <col collapsed="false" customWidth="true" hidden="false" outlineLevel="0" max="10" min="10" style="0" width="26"/>
    <col collapsed="false" customWidth="true" hidden="false" outlineLevel="0" max="11" min="11" style="0" width="7"/>
    <col collapsed="false" customWidth="true" hidden="false" outlineLevel="0" max="12" min="12" style="0" width="10"/>
    <col collapsed="false" customWidth="true" hidden="false" outlineLevel="0" max="13" min="13" style="0" width="7"/>
    <col collapsed="false" customWidth="true" hidden="false" outlineLevel="0" max="14" min="14" style="0" width="11"/>
    <col collapsed="false" customWidth="true" hidden="false" outlineLevel="0" max="15" min="15" style="0" width="9"/>
    <col collapsed="false" customWidth="true" hidden="false" outlineLevel="0" max="16" min="16" style="0" width="26"/>
    <col collapsed="false" customWidth="true" hidden="false" outlineLevel="0" max="17" min="17" style="0" width="11"/>
    <col collapsed="false" customWidth="true" hidden="false" outlineLevel="0" max="18" min="18" style="0" width="12"/>
    <col collapsed="false" customWidth="true" hidden="false" outlineLevel="0" max="19" min="19" style="0" width="15"/>
    <col collapsed="false" customWidth="true" hidden="false" outlineLevel="0" max="20" min="20" style="0" width="24"/>
    <col collapsed="false" customWidth="true" hidden="false" outlineLevel="0" max="21" min="21" style="0" width="15"/>
    <col collapsed="false" customWidth="true" hidden="false" outlineLevel="0" max="22" min="22" style="0" width="18"/>
    <col collapsed="false" customWidth="true" hidden="false" outlineLevel="0" max="23" min="23" style="0" width="20"/>
    <col collapsed="false" customWidth="true" hidden="false" outlineLevel="0" max="24" min="24" style="0" width="18"/>
    <col collapsed="false" customWidth="true" hidden="false" outlineLevel="0" max="25" min="25" style="0" width="26"/>
    <col collapsed="false" customWidth="true" hidden="false" outlineLevel="0" max="26" min="26" style="0" width="15"/>
    <col collapsed="false" customWidth="true" hidden="false" outlineLevel="0" max="27" min="27" style="0" width="18"/>
    <col collapsed="false" customWidth="true" hidden="false" outlineLevel="0" max="28" min="28" style="0" width="20"/>
    <col collapsed="false" customWidth="true" hidden="false" outlineLevel="0" max="29" min="29" style="0" width="18"/>
    <col collapsed="false" customWidth="true" hidden="false" outlineLevel="0" max="30" min="30" style="0" width="26"/>
    <col collapsed="false" customWidth="true" hidden="false" outlineLevel="0" max="32" min="31" style="0" width="15"/>
    <col collapsed="false" customWidth="true" hidden="false" outlineLevel="0" max="35" min="33" style="0" width="12"/>
    <col collapsed="false" customWidth="true" hidden="false" outlineLevel="0" max="36" min="36" style="0" width="13"/>
    <col collapsed="false" customWidth="true" hidden="false" outlineLevel="0" max="38" min="37" style="0" width="12"/>
    <col collapsed="false" customWidth="true" hidden="false" outlineLevel="0" max="39" min="39" style="0" width="13"/>
    <col collapsed="false" customWidth="true" hidden="false" outlineLevel="0" max="40" min="40" style="0" width="10"/>
    <col collapsed="false" customWidth="true" hidden="false" outlineLevel="0" max="41" min="41" style="0" width="50"/>
    <col collapsed="false" customWidth="true" hidden="false" outlineLevel="0" max="42" min="42" style="0" width="9"/>
    <col collapsed="false" customWidth="true" hidden="false" outlineLevel="0" max="43" min="43" style="0" width="30"/>
    <col collapsed="false" customWidth="true" hidden="false" outlineLevel="0" max="44" min="44" style="0" width="34"/>
    <col collapsed="false" customWidth="true" hidden="false" outlineLevel="0" max="45" min="45" style="0" width="50"/>
    <col collapsed="false" customWidth="true" hidden="false" outlineLevel="0" max="46" min="46" style="0" width="28"/>
    <col collapsed="false" customWidth="true" hidden="false" outlineLevel="0" max="47" min="47" style="0" width="60"/>
    <col collapsed="false" customWidth="true" hidden="false" outlineLevel="0" max="48" min="48" style="0" width="28"/>
    <col collapsed="false" customWidth="true" hidden="false" outlineLevel="0" max="49" min="49" style="0" width="60"/>
    <col collapsed="false" customWidth="true" hidden="false" outlineLevel="0" max="50" min="50" style="0" width="28"/>
    <col collapsed="false" customWidth="true" hidden="false" outlineLevel="0" max="51" min="51" style="0" width="60"/>
    <col collapsed="false" customWidth="true" hidden="false" outlineLevel="0" max="54" min="52" style="0" width="50"/>
    <col collapsed="false" customWidth="true" hidden="false" outlineLevel="0" max="55" min="55" style="0" width="12"/>
  </cols>
  <sheetData>
    <row r="1" customFormat="false" ht="42" hidden="false" customHeight="true" outlineLevel="0" collapsed="false">
      <c r="A1" s="25" t="s">
        <v>72</v>
      </c>
      <c r="B1" s="25" t="s">
        <v>73</v>
      </c>
      <c r="C1" s="26" t="s">
        <v>74</v>
      </c>
      <c r="D1" s="27" t="s">
        <v>75</v>
      </c>
      <c r="E1" s="27" t="s">
        <v>76</v>
      </c>
      <c r="F1" s="27" t="s">
        <v>28</v>
      </c>
      <c r="G1" s="27" t="s">
        <v>77</v>
      </c>
      <c r="H1" s="27" t="s">
        <v>78</v>
      </c>
      <c r="I1" s="27" t="s">
        <v>79</v>
      </c>
      <c r="J1" s="27" t="s">
        <v>80</v>
      </c>
      <c r="K1" s="27" t="s">
        <v>81</v>
      </c>
      <c r="L1" s="27" t="s">
        <v>82</v>
      </c>
      <c r="M1" s="27" t="s">
        <v>83</v>
      </c>
      <c r="N1" s="27" t="s">
        <v>84</v>
      </c>
      <c r="O1" s="27" t="s">
        <v>85</v>
      </c>
      <c r="P1" s="28" t="s">
        <v>86</v>
      </c>
      <c r="Q1" s="28" t="s">
        <v>87</v>
      </c>
      <c r="R1" s="28" t="s">
        <v>88</v>
      </c>
      <c r="S1" s="28" t="s">
        <v>89</v>
      </c>
      <c r="T1" s="28" t="s">
        <v>90</v>
      </c>
      <c r="U1" s="28" t="s">
        <v>91</v>
      </c>
      <c r="V1" s="29" t="s">
        <v>92</v>
      </c>
      <c r="W1" s="29" t="s">
        <v>93</v>
      </c>
      <c r="X1" s="29" t="s">
        <v>94</v>
      </c>
      <c r="Y1" s="29" t="s">
        <v>95</v>
      </c>
      <c r="Z1" s="29" t="s">
        <v>96</v>
      </c>
      <c r="AA1" s="29" t="s">
        <v>97</v>
      </c>
      <c r="AB1" s="29" t="s">
        <v>98</v>
      </c>
      <c r="AC1" s="29" t="s">
        <v>99</v>
      </c>
      <c r="AD1" s="29" t="s">
        <v>100</v>
      </c>
      <c r="AE1" s="29" t="s">
        <v>101</v>
      </c>
      <c r="AF1" s="26" t="s">
        <v>47</v>
      </c>
      <c r="AG1" s="26" t="s">
        <v>102</v>
      </c>
      <c r="AH1" s="26" t="s">
        <v>103</v>
      </c>
      <c r="AI1" s="26" t="s">
        <v>104</v>
      </c>
      <c r="AJ1" s="26" t="s">
        <v>105</v>
      </c>
      <c r="AK1" s="26" t="s">
        <v>106</v>
      </c>
      <c r="AL1" s="26" t="s">
        <v>107</v>
      </c>
      <c r="AM1" s="26" t="s">
        <v>108</v>
      </c>
      <c r="AN1" s="26" t="s">
        <v>109</v>
      </c>
      <c r="AO1" s="26" t="s">
        <v>110</v>
      </c>
      <c r="AP1" s="26" t="s">
        <v>111</v>
      </c>
      <c r="AQ1" s="30" t="s">
        <v>112</v>
      </c>
      <c r="AR1" s="30" t="s">
        <v>113</v>
      </c>
      <c r="AS1" s="30" t="s">
        <v>114</v>
      </c>
      <c r="AT1" s="30" t="s">
        <v>115</v>
      </c>
      <c r="AU1" s="30" t="s">
        <v>116</v>
      </c>
      <c r="AV1" s="30" t="s">
        <v>117</v>
      </c>
      <c r="AW1" s="30" t="s">
        <v>118</v>
      </c>
      <c r="AX1" s="30" t="s">
        <v>119</v>
      </c>
      <c r="AY1" s="30" t="s">
        <v>120</v>
      </c>
      <c r="AZ1" s="30" t="s">
        <v>121</v>
      </c>
      <c r="BA1" s="30" t="s">
        <v>122</v>
      </c>
      <c r="BB1" s="30" t="s">
        <v>123</v>
      </c>
      <c r="BC1" s="30" t="s">
        <v>124</v>
      </c>
    </row>
    <row r="2" customFormat="false" ht="15" hidden="false" customHeight="false" outlineLevel="0" collapsed="false">
      <c r="A2" s="4" t="n">
        <v>1</v>
      </c>
      <c r="B2" s="4" t="s">
        <v>125</v>
      </c>
      <c r="C2" s="4" t="s">
        <v>19</v>
      </c>
      <c r="D2" s="4" t="s">
        <v>126</v>
      </c>
      <c r="E2" s="4" t="s">
        <v>127</v>
      </c>
      <c r="F2" s="4" t="s">
        <v>37</v>
      </c>
      <c r="G2" s="4" t="s">
        <v>128</v>
      </c>
      <c r="H2" s="4" t="s">
        <v>129</v>
      </c>
      <c r="I2" s="4" t="s">
        <v>130</v>
      </c>
      <c r="J2" s="4" t="s">
        <v>131</v>
      </c>
      <c r="K2" s="4" t="s">
        <v>132</v>
      </c>
      <c r="L2" s="31" t="n">
        <v>820</v>
      </c>
      <c r="M2" s="31" t="n">
        <v>3</v>
      </c>
      <c r="N2" s="31" t="n">
        <v>41</v>
      </c>
      <c r="O2" s="32" t="n">
        <v>5.2</v>
      </c>
      <c r="P2" s="4"/>
      <c r="Q2" s="33" t="s">
        <v>133</v>
      </c>
      <c r="R2" s="33" t="s">
        <v>133</v>
      </c>
      <c r="S2" s="4"/>
      <c r="T2" s="4"/>
      <c r="U2" s="4" t="s">
        <v>134</v>
      </c>
      <c r="V2" s="4" t="s">
        <v>135</v>
      </c>
      <c r="W2" s="4" t="s">
        <v>136</v>
      </c>
      <c r="X2" s="4" t="s">
        <v>137</v>
      </c>
      <c r="Y2" s="4" t="s">
        <v>138</v>
      </c>
      <c r="Z2" s="4"/>
      <c r="AA2" s="4"/>
      <c r="AB2" s="4"/>
      <c r="AC2" s="4"/>
      <c r="AD2" s="4"/>
      <c r="AE2" s="4"/>
      <c r="AF2" s="4" t="s">
        <v>48</v>
      </c>
      <c r="AG2" s="34"/>
      <c r="AH2" s="34" t="str">
        <f aca="false">IF(AG2="","",WORKDAY(AG2,3))</f>
        <v/>
      </c>
      <c r="AI2" s="34" t="str">
        <f aca="false">IF(AG2="","",WORKDAY(AG2,7))</f>
        <v/>
      </c>
      <c r="AJ2" s="4"/>
      <c r="AK2" s="34"/>
      <c r="AL2" s="34"/>
      <c r="AM2" s="4"/>
      <c r="AN2" s="4"/>
      <c r="AO2" s="4" t="s">
        <v>139</v>
      </c>
      <c r="AP2" s="4" t="s">
        <v>140</v>
      </c>
      <c r="AQ2" s="4" t="s">
        <v>141</v>
      </c>
      <c r="AR2" s="4" t="s">
        <v>142</v>
      </c>
      <c r="AS2" s="4" t="s">
        <v>143</v>
      </c>
      <c r="AT2" s="4" t="s">
        <v>144</v>
      </c>
      <c r="AU2" s="35" t="s">
        <v>145</v>
      </c>
      <c r="AV2" s="4" t="s">
        <v>146</v>
      </c>
      <c r="AW2" s="35" t="s">
        <v>147</v>
      </c>
      <c r="AX2" s="4" t="s">
        <v>148</v>
      </c>
      <c r="AY2" s="35" t="s">
        <v>149</v>
      </c>
      <c r="AZ2" s="35" t="s">
        <v>150</v>
      </c>
      <c r="BA2" s="35" t="s">
        <v>151</v>
      </c>
      <c r="BB2" s="4" t="s">
        <v>152</v>
      </c>
      <c r="BC2" s="34" t="n">
        <v>46323</v>
      </c>
    </row>
    <row r="3" customFormat="false" ht="15" hidden="false" customHeight="false" outlineLevel="0" collapsed="false">
      <c r="A3" s="4" t="n">
        <v>2</v>
      </c>
      <c r="B3" s="4" t="s">
        <v>153</v>
      </c>
      <c r="C3" s="4" t="s">
        <v>17</v>
      </c>
      <c r="D3" s="4" t="s">
        <v>126</v>
      </c>
      <c r="E3" s="4" t="s">
        <v>127</v>
      </c>
      <c r="F3" s="4" t="s">
        <v>36</v>
      </c>
      <c r="G3" s="4" t="s">
        <v>154</v>
      </c>
      <c r="H3" s="4" t="s">
        <v>155</v>
      </c>
      <c r="I3" s="4" t="s">
        <v>156</v>
      </c>
      <c r="J3" s="4" t="s">
        <v>157</v>
      </c>
      <c r="K3" s="4" t="s">
        <v>158</v>
      </c>
      <c r="L3" s="31" t="n">
        <v>410</v>
      </c>
      <c r="M3" s="31" t="n">
        <v>1</v>
      </c>
      <c r="N3" s="31" t="n">
        <v>22</v>
      </c>
      <c r="O3" s="32" t="n">
        <v>6</v>
      </c>
      <c r="P3" s="4"/>
      <c r="Q3" s="33" t="s">
        <v>133</v>
      </c>
      <c r="R3" s="33" t="s">
        <v>133</v>
      </c>
      <c r="S3" s="4"/>
      <c r="T3" s="4"/>
      <c r="U3" s="4" t="s">
        <v>17</v>
      </c>
      <c r="V3" s="4"/>
      <c r="W3" s="4"/>
      <c r="X3" s="4"/>
      <c r="Y3" s="4"/>
      <c r="Z3" s="4"/>
      <c r="AA3" s="4"/>
      <c r="AB3" s="4"/>
      <c r="AC3" s="4"/>
      <c r="AD3" s="4"/>
      <c r="AE3" s="4"/>
      <c r="AF3" s="4" t="s">
        <v>49</v>
      </c>
      <c r="AG3" s="34"/>
      <c r="AH3" s="34" t="str">
        <f aca="false">IF(AG3="","",WORKDAY(AG3,3))</f>
        <v/>
      </c>
      <c r="AI3" s="34" t="str">
        <f aca="false">IF(AG3="","",WORKDAY(AG3,7))</f>
        <v/>
      </c>
      <c r="AJ3" s="4"/>
      <c r="AK3" s="34"/>
      <c r="AL3" s="34"/>
      <c r="AM3" s="4"/>
      <c r="AN3" s="4"/>
      <c r="AO3" s="4"/>
      <c r="AP3" s="4" t="s">
        <v>140</v>
      </c>
      <c r="AQ3" s="4" t="s">
        <v>159</v>
      </c>
      <c r="AR3" s="4" t="s">
        <v>160</v>
      </c>
      <c r="AS3" s="4" t="s">
        <v>161</v>
      </c>
      <c r="AT3" s="4" t="s">
        <v>162</v>
      </c>
      <c r="AU3" s="35" t="s">
        <v>163</v>
      </c>
      <c r="AV3" s="4" t="s">
        <v>164</v>
      </c>
      <c r="AW3" s="35" t="s">
        <v>165</v>
      </c>
      <c r="AX3" s="4" t="s">
        <v>166</v>
      </c>
      <c r="AY3" s="35" t="s">
        <v>167</v>
      </c>
      <c r="AZ3" s="35" t="s">
        <v>168</v>
      </c>
      <c r="BA3" s="35" t="s">
        <v>151</v>
      </c>
      <c r="BB3" s="4" t="s">
        <v>169</v>
      </c>
      <c r="BC3" s="34" t="n">
        <v>46323</v>
      </c>
    </row>
    <row r="4" customFormat="false" ht="15" hidden="false" customHeight="false" outlineLevel="0" collapsed="false">
      <c r="A4" s="4" t="n">
        <v>3</v>
      </c>
      <c r="B4" s="4" t="s">
        <v>170</v>
      </c>
      <c r="C4" s="4" t="s">
        <v>17</v>
      </c>
      <c r="D4" s="4" t="s">
        <v>171</v>
      </c>
      <c r="E4" s="4" t="s">
        <v>127</v>
      </c>
      <c r="F4" s="4" t="s">
        <v>31</v>
      </c>
      <c r="G4" s="4" t="s">
        <v>172</v>
      </c>
      <c r="H4" s="4" t="s">
        <v>129</v>
      </c>
      <c r="I4" s="4" t="s">
        <v>173</v>
      </c>
      <c r="J4" s="4" t="s">
        <v>174</v>
      </c>
      <c r="K4" s="4" t="s">
        <v>175</v>
      </c>
      <c r="L4" s="31" t="n">
        <v>180</v>
      </c>
      <c r="M4" s="31" t="n">
        <v>1</v>
      </c>
      <c r="N4" s="31" t="n">
        <v>19</v>
      </c>
      <c r="O4" s="32" t="n">
        <v>11.4</v>
      </c>
      <c r="P4" s="4"/>
      <c r="Q4" s="33" t="s">
        <v>133</v>
      </c>
      <c r="R4" s="33" t="s">
        <v>133</v>
      </c>
      <c r="S4" s="4"/>
      <c r="T4" s="4"/>
      <c r="U4" s="4" t="s">
        <v>17</v>
      </c>
      <c r="V4" s="4"/>
      <c r="W4" s="4"/>
      <c r="X4" s="4"/>
      <c r="Y4" s="4"/>
      <c r="Z4" s="4"/>
      <c r="AA4" s="4"/>
      <c r="AB4" s="4"/>
      <c r="AC4" s="4"/>
      <c r="AD4" s="4"/>
      <c r="AE4" s="4"/>
      <c r="AF4" s="4" t="s">
        <v>48</v>
      </c>
      <c r="AG4" s="34"/>
      <c r="AH4" s="34" t="str">
        <f aca="false">IF(AG4="","",WORKDAY(AG4,3))</f>
        <v/>
      </c>
      <c r="AI4" s="34" t="str">
        <f aca="false">IF(AG4="","",WORKDAY(AG4,7))</f>
        <v/>
      </c>
      <c r="AJ4" s="4"/>
      <c r="AK4" s="34"/>
      <c r="AL4" s="34"/>
      <c r="AM4" s="4"/>
      <c r="AN4" s="4"/>
      <c r="AO4" s="4"/>
      <c r="AP4" s="4" t="s">
        <v>140</v>
      </c>
      <c r="AQ4" s="4" t="s">
        <v>176</v>
      </c>
      <c r="AR4" s="4" t="s">
        <v>177</v>
      </c>
      <c r="AS4" s="4" t="s">
        <v>178</v>
      </c>
      <c r="AT4" s="4" t="s">
        <v>179</v>
      </c>
      <c r="AU4" s="35" t="s">
        <v>180</v>
      </c>
      <c r="AV4" s="4" t="s">
        <v>181</v>
      </c>
      <c r="AW4" s="35" t="s">
        <v>182</v>
      </c>
      <c r="AX4" s="4" t="s">
        <v>183</v>
      </c>
      <c r="AY4" s="35" t="s">
        <v>184</v>
      </c>
      <c r="AZ4" s="35" t="s">
        <v>185</v>
      </c>
      <c r="BA4" s="35" t="s">
        <v>151</v>
      </c>
      <c r="BB4" s="4" t="s">
        <v>186</v>
      </c>
      <c r="BC4" s="34" t="n">
        <v>46323</v>
      </c>
    </row>
    <row r="5" customFormat="false" ht="15" hidden="false" customHeight="false" outlineLevel="0" collapsed="false">
      <c r="A5" s="4" t="n">
        <v>4</v>
      </c>
      <c r="B5" s="4" t="s">
        <v>187</v>
      </c>
      <c r="C5" s="4" t="s">
        <v>17</v>
      </c>
      <c r="D5" s="4" t="s">
        <v>171</v>
      </c>
      <c r="E5" s="4" t="s">
        <v>127</v>
      </c>
      <c r="F5" s="4" t="s">
        <v>35</v>
      </c>
      <c r="G5" s="4" t="s">
        <v>188</v>
      </c>
      <c r="H5" s="4" t="s">
        <v>189</v>
      </c>
      <c r="I5" s="4" t="s">
        <v>190</v>
      </c>
      <c r="J5" s="4" t="s">
        <v>191</v>
      </c>
      <c r="K5" s="4" t="s">
        <v>192</v>
      </c>
      <c r="L5" s="31" t="n">
        <v>150</v>
      </c>
      <c r="M5" s="31" t="n">
        <v>2</v>
      </c>
      <c r="N5" s="31" t="n">
        <v>12</v>
      </c>
      <c r="O5" s="32" t="n">
        <v>8.1</v>
      </c>
      <c r="P5" s="4"/>
      <c r="Q5" s="33" t="s">
        <v>133</v>
      </c>
      <c r="R5" s="33" t="s">
        <v>133</v>
      </c>
      <c r="S5" s="4"/>
      <c r="T5" s="4"/>
      <c r="U5" s="4" t="s">
        <v>17</v>
      </c>
      <c r="V5" s="4"/>
      <c r="W5" s="4"/>
      <c r="X5" s="4"/>
      <c r="Y5" s="4"/>
      <c r="Z5" s="4"/>
      <c r="AA5" s="4"/>
      <c r="AB5" s="4"/>
      <c r="AC5" s="4"/>
      <c r="AD5" s="4"/>
      <c r="AE5" s="4"/>
      <c r="AF5" s="4" t="s">
        <v>49</v>
      </c>
      <c r="AG5" s="34"/>
      <c r="AH5" s="34" t="str">
        <f aca="false">IF(AG5="","",WORKDAY(AG5,3))</f>
        <v/>
      </c>
      <c r="AI5" s="34" t="str">
        <f aca="false">IF(AG5="","",WORKDAY(AG5,7))</f>
        <v/>
      </c>
      <c r="AJ5" s="4"/>
      <c r="AK5" s="34"/>
      <c r="AL5" s="34"/>
      <c r="AM5" s="4"/>
      <c r="AN5" s="4"/>
      <c r="AO5" s="4"/>
      <c r="AP5" s="4" t="s">
        <v>140</v>
      </c>
      <c r="AQ5" s="4" t="s">
        <v>193</v>
      </c>
      <c r="AR5" s="4" t="s">
        <v>194</v>
      </c>
      <c r="AS5" s="4" t="s">
        <v>195</v>
      </c>
      <c r="AT5" s="4" t="s">
        <v>196</v>
      </c>
      <c r="AU5" s="35" t="s">
        <v>197</v>
      </c>
      <c r="AV5" s="4" t="s">
        <v>198</v>
      </c>
      <c r="AW5" s="35" t="s">
        <v>199</v>
      </c>
      <c r="AX5" s="4" t="s">
        <v>200</v>
      </c>
      <c r="AY5" s="35" t="s">
        <v>201</v>
      </c>
      <c r="AZ5" s="35" t="s">
        <v>202</v>
      </c>
      <c r="BA5" s="35" t="s">
        <v>151</v>
      </c>
      <c r="BB5" s="4" t="s">
        <v>203</v>
      </c>
      <c r="BC5" s="34" t="n">
        <v>46323</v>
      </c>
    </row>
    <row r="6" customFormat="false" ht="15" hidden="false" customHeight="false" outlineLevel="0" collapsed="false">
      <c r="A6" s="4" t="n">
        <v>5</v>
      </c>
      <c r="B6" s="4" t="s">
        <v>204</v>
      </c>
      <c r="C6" s="4" t="s">
        <v>17</v>
      </c>
      <c r="D6" s="4" t="s">
        <v>205</v>
      </c>
      <c r="E6" s="4" t="s">
        <v>127</v>
      </c>
      <c r="F6" s="4" t="s">
        <v>32</v>
      </c>
      <c r="G6" s="4" t="s">
        <v>206</v>
      </c>
      <c r="H6" s="4" t="s">
        <v>207</v>
      </c>
      <c r="I6" s="4" t="s">
        <v>208</v>
      </c>
      <c r="J6" s="4" t="s">
        <v>209</v>
      </c>
      <c r="K6" s="4" t="s">
        <v>210</v>
      </c>
      <c r="L6" s="31" t="n">
        <v>64</v>
      </c>
      <c r="M6" s="31" t="n">
        <v>1</v>
      </c>
      <c r="N6" s="31" t="n">
        <v>4</v>
      </c>
      <c r="O6" s="32" t="n">
        <v>6.3</v>
      </c>
      <c r="P6" s="4"/>
      <c r="Q6" s="33" t="s">
        <v>133</v>
      </c>
      <c r="R6" s="33" t="s">
        <v>133</v>
      </c>
      <c r="S6" s="4"/>
      <c r="T6" s="4"/>
      <c r="U6" s="4" t="s">
        <v>17</v>
      </c>
      <c r="V6" s="4"/>
      <c r="W6" s="4"/>
      <c r="X6" s="4"/>
      <c r="Y6" s="4"/>
      <c r="Z6" s="4"/>
      <c r="AA6" s="4"/>
      <c r="AB6" s="4"/>
      <c r="AC6" s="4"/>
      <c r="AD6" s="4"/>
      <c r="AE6" s="4"/>
      <c r="AF6" s="4" t="s">
        <v>48</v>
      </c>
      <c r="AG6" s="34"/>
      <c r="AH6" s="34" t="str">
        <f aca="false">IF(AG6="","",WORKDAY(AG6,3))</f>
        <v/>
      </c>
      <c r="AI6" s="34" t="str">
        <f aca="false">IF(AG6="","",WORKDAY(AG6,7))</f>
        <v/>
      </c>
      <c r="AJ6" s="4"/>
      <c r="AK6" s="34"/>
      <c r="AL6" s="34"/>
      <c r="AM6" s="4"/>
      <c r="AN6" s="4"/>
      <c r="AO6" s="4"/>
      <c r="AP6" s="4" t="s">
        <v>140</v>
      </c>
      <c r="AQ6" s="4" t="s">
        <v>211</v>
      </c>
      <c r="AR6" s="4" t="s">
        <v>212</v>
      </c>
      <c r="AS6" s="4" t="s">
        <v>213</v>
      </c>
      <c r="AT6" s="4" t="s">
        <v>214</v>
      </c>
      <c r="AU6" s="35" t="s">
        <v>215</v>
      </c>
      <c r="AV6" s="4" t="s">
        <v>216</v>
      </c>
      <c r="AW6" s="35" t="s">
        <v>217</v>
      </c>
      <c r="AX6" s="4" t="s">
        <v>218</v>
      </c>
      <c r="AY6" s="35" t="s">
        <v>219</v>
      </c>
      <c r="AZ6" s="35" t="s">
        <v>220</v>
      </c>
      <c r="BA6" s="35" t="s">
        <v>151</v>
      </c>
      <c r="BB6" s="4" t="s">
        <v>221</v>
      </c>
      <c r="BC6" s="34" t="n">
        <v>46323</v>
      </c>
    </row>
    <row r="7" customFormat="false" ht="15" hidden="false" customHeight="false" outlineLevel="0" collapsed="false">
      <c r="AG7" s="36"/>
      <c r="AH7" s="36"/>
      <c r="AI7" s="36"/>
      <c r="AK7" s="36"/>
      <c r="AL7" s="36"/>
    </row>
    <row r="8" customFormat="false" ht="15" hidden="false" customHeight="false" outlineLevel="0" collapsed="false">
      <c r="AG8" s="36"/>
      <c r="AH8" s="36"/>
      <c r="AI8" s="36"/>
      <c r="AK8" s="36"/>
      <c r="AL8" s="36"/>
    </row>
    <row r="9" customFormat="false" ht="15" hidden="false" customHeight="false" outlineLevel="0" collapsed="false">
      <c r="AG9" s="36"/>
      <c r="AH9" s="36"/>
      <c r="AI9" s="36"/>
      <c r="AK9" s="36"/>
      <c r="AL9" s="36"/>
    </row>
    <row r="10" customFormat="false" ht="15" hidden="false" customHeight="false" outlineLevel="0" collapsed="false">
      <c r="AG10" s="36"/>
      <c r="AH10" s="36"/>
      <c r="AI10" s="36"/>
      <c r="AK10" s="36"/>
      <c r="AL10" s="36"/>
    </row>
    <row r="11" customFormat="false" ht="15" hidden="false" customHeight="false" outlineLevel="0" collapsed="false">
      <c r="AG11" s="36"/>
      <c r="AH11" s="36"/>
      <c r="AI11" s="36"/>
      <c r="AK11" s="36"/>
      <c r="AL11" s="36"/>
    </row>
    <row r="12" customFormat="false" ht="15" hidden="false" customHeight="false" outlineLevel="0" collapsed="false">
      <c r="AG12" s="36"/>
      <c r="AH12" s="36"/>
      <c r="AI12" s="36"/>
      <c r="AK12" s="36"/>
      <c r="AL12" s="36"/>
    </row>
    <row r="13" customFormat="false" ht="15" hidden="false" customHeight="false" outlineLevel="0" collapsed="false">
      <c r="AG13" s="36"/>
      <c r="AH13" s="36"/>
      <c r="AI13" s="36"/>
      <c r="AK13" s="36"/>
      <c r="AL13" s="36"/>
    </row>
    <row r="14" customFormat="false" ht="15" hidden="false" customHeight="false" outlineLevel="0" collapsed="false">
      <c r="AG14" s="36"/>
      <c r="AH14" s="36"/>
      <c r="AI14" s="36"/>
      <c r="AK14" s="36"/>
      <c r="AL14" s="36"/>
    </row>
    <row r="15" customFormat="false" ht="15" hidden="false" customHeight="false" outlineLevel="0" collapsed="false">
      <c r="AG15" s="36"/>
      <c r="AH15" s="36"/>
      <c r="AI15" s="36"/>
      <c r="AK15" s="36"/>
      <c r="AL15" s="36"/>
    </row>
    <row r="16" customFormat="false" ht="15" hidden="false" customHeight="false" outlineLevel="0" collapsed="false">
      <c r="AG16" s="36"/>
      <c r="AH16" s="36"/>
      <c r="AI16" s="36"/>
      <c r="AK16" s="36"/>
      <c r="AL16" s="36"/>
    </row>
    <row r="17" customFormat="false" ht="15" hidden="false" customHeight="false" outlineLevel="0" collapsed="false">
      <c r="AG17" s="36"/>
      <c r="AH17" s="36"/>
      <c r="AI17" s="36"/>
      <c r="AK17" s="36"/>
      <c r="AL17" s="36"/>
    </row>
    <row r="18" customFormat="false" ht="15" hidden="false" customHeight="false" outlineLevel="0" collapsed="false">
      <c r="AG18" s="36"/>
      <c r="AH18" s="36"/>
      <c r="AI18" s="36"/>
      <c r="AK18" s="36"/>
      <c r="AL18" s="36"/>
    </row>
    <row r="19" customFormat="false" ht="15" hidden="false" customHeight="false" outlineLevel="0" collapsed="false">
      <c r="AG19" s="36"/>
      <c r="AH19" s="36"/>
      <c r="AI19" s="36"/>
      <c r="AK19" s="36"/>
      <c r="AL19" s="36"/>
    </row>
    <row r="20" customFormat="false" ht="15" hidden="false" customHeight="false" outlineLevel="0" collapsed="false">
      <c r="AG20" s="36"/>
      <c r="AH20" s="36"/>
      <c r="AI20" s="36"/>
      <c r="AK20" s="36"/>
      <c r="AL20" s="36"/>
    </row>
    <row r="21" customFormat="false" ht="15" hidden="false" customHeight="false" outlineLevel="0" collapsed="false">
      <c r="AG21" s="36"/>
      <c r="AH21" s="36"/>
      <c r="AI21" s="36"/>
      <c r="AK21" s="36"/>
      <c r="AL21" s="36"/>
    </row>
    <row r="22" customFormat="false" ht="15" hidden="false" customHeight="false" outlineLevel="0" collapsed="false">
      <c r="AG22" s="36"/>
      <c r="AH22" s="36"/>
      <c r="AI22" s="36"/>
      <c r="AK22" s="36"/>
      <c r="AL22" s="36"/>
    </row>
    <row r="23" customFormat="false" ht="15" hidden="false" customHeight="false" outlineLevel="0" collapsed="false">
      <c r="AG23" s="36"/>
      <c r="AH23" s="36"/>
      <c r="AI23" s="36"/>
      <c r="AK23" s="36"/>
      <c r="AL23" s="36"/>
    </row>
    <row r="24" customFormat="false" ht="15" hidden="false" customHeight="false" outlineLevel="0" collapsed="false">
      <c r="AG24" s="36"/>
      <c r="AH24" s="36"/>
      <c r="AI24" s="36"/>
      <c r="AK24" s="36"/>
      <c r="AL24" s="36"/>
    </row>
    <row r="25" customFormat="false" ht="15" hidden="false" customHeight="false" outlineLevel="0" collapsed="false">
      <c r="AG25" s="36"/>
      <c r="AH25" s="36"/>
      <c r="AI25" s="36"/>
      <c r="AK25" s="36"/>
      <c r="AL25" s="36"/>
    </row>
    <row r="26" customFormat="false" ht="15" hidden="false" customHeight="false" outlineLevel="0" collapsed="false">
      <c r="AG26" s="36"/>
      <c r="AH26" s="36"/>
      <c r="AI26" s="36"/>
      <c r="AK26" s="36"/>
      <c r="AL26" s="36"/>
    </row>
    <row r="27" customFormat="false" ht="15" hidden="false" customHeight="false" outlineLevel="0" collapsed="false">
      <c r="AG27" s="36"/>
      <c r="AH27" s="36"/>
      <c r="AI27" s="36"/>
      <c r="AK27" s="36"/>
      <c r="AL27" s="36"/>
    </row>
    <row r="28" customFormat="false" ht="15" hidden="false" customHeight="false" outlineLevel="0" collapsed="false">
      <c r="AG28" s="36"/>
      <c r="AH28" s="36"/>
      <c r="AI28" s="36"/>
      <c r="AK28" s="36"/>
      <c r="AL28" s="36"/>
    </row>
    <row r="29" customFormat="false" ht="15" hidden="false" customHeight="false" outlineLevel="0" collapsed="false">
      <c r="AG29" s="36"/>
      <c r="AH29" s="36"/>
      <c r="AI29" s="36"/>
      <c r="AK29" s="36"/>
      <c r="AL29" s="36"/>
    </row>
    <row r="30" customFormat="false" ht="15" hidden="false" customHeight="false" outlineLevel="0" collapsed="false">
      <c r="AG30" s="36"/>
      <c r="AH30" s="36"/>
      <c r="AI30" s="36"/>
      <c r="AK30" s="36"/>
      <c r="AL30" s="36"/>
    </row>
    <row r="31" customFormat="false" ht="15" hidden="false" customHeight="false" outlineLevel="0" collapsed="false">
      <c r="AG31" s="36"/>
      <c r="AH31" s="36"/>
      <c r="AI31" s="36"/>
      <c r="AK31" s="36"/>
      <c r="AL31" s="36"/>
    </row>
    <row r="32" customFormat="false" ht="15" hidden="false" customHeight="false" outlineLevel="0" collapsed="false">
      <c r="AG32" s="36"/>
      <c r="AH32" s="36"/>
      <c r="AI32" s="36"/>
      <c r="AK32" s="36"/>
      <c r="AL32" s="36"/>
    </row>
    <row r="33" customFormat="false" ht="15" hidden="false" customHeight="false" outlineLevel="0" collapsed="false">
      <c r="AG33" s="36"/>
      <c r="AH33" s="36"/>
      <c r="AI33" s="36"/>
      <c r="AK33" s="36"/>
      <c r="AL33" s="36"/>
    </row>
    <row r="34" customFormat="false" ht="15" hidden="false" customHeight="false" outlineLevel="0" collapsed="false">
      <c r="AG34" s="36"/>
      <c r="AH34" s="36"/>
      <c r="AI34" s="36"/>
      <c r="AK34" s="36"/>
      <c r="AL34" s="36"/>
    </row>
    <row r="35" customFormat="false" ht="15" hidden="false" customHeight="false" outlineLevel="0" collapsed="false">
      <c r="AG35" s="36"/>
      <c r="AH35" s="36"/>
      <c r="AI35" s="36"/>
      <c r="AK35" s="36"/>
      <c r="AL35" s="36"/>
    </row>
    <row r="36" customFormat="false" ht="15" hidden="false" customHeight="false" outlineLevel="0" collapsed="false">
      <c r="AG36" s="36"/>
      <c r="AH36" s="36"/>
      <c r="AI36" s="36"/>
      <c r="AK36" s="36"/>
      <c r="AL36" s="36"/>
    </row>
    <row r="37" customFormat="false" ht="15" hidden="false" customHeight="false" outlineLevel="0" collapsed="false">
      <c r="AG37" s="36"/>
      <c r="AH37" s="36"/>
      <c r="AI37" s="36"/>
      <c r="AK37" s="36"/>
      <c r="AL37" s="36"/>
    </row>
    <row r="38" customFormat="false" ht="15" hidden="false" customHeight="false" outlineLevel="0" collapsed="false">
      <c r="AG38" s="36"/>
      <c r="AH38" s="36"/>
      <c r="AI38" s="36"/>
      <c r="AK38" s="36"/>
      <c r="AL38" s="36"/>
    </row>
    <row r="39" customFormat="false" ht="15" hidden="false" customHeight="false" outlineLevel="0" collapsed="false">
      <c r="AG39" s="36"/>
      <c r="AH39" s="36"/>
      <c r="AI39" s="36"/>
      <c r="AK39" s="36"/>
      <c r="AL39" s="36"/>
    </row>
    <row r="40" customFormat="false" ht="15" hidden="false" customHeight="false" outlineLevel="0" collapsed="false">
      <c r="AG40" s="36"/>
      <c r="AH40" s="36"/>
      <c r="AI40" s="36"/>
      <c r="AK40" s="36"/>
      <c r="AL40" s="36"/>
    </row>
    <row r="41" customFormat="false" ht="15" hidden="false" customHeight="false" outlineLevel="0" collapsed="false">
      <c r="AG41" s="36"/>
      <c r="AH41" s="36"/>
      <c r="AI41" s="36"/>
      <c r="AK41" s="36"/>
      <c r="AL41" s="36"/>
    </row>
    <row r="42" customFormat="false" ht="15" hidden="false" customHeight="false" outlineLevel="0" collapsed="false">
      <c r="AG42" s="36"/>
      <c r="AH42" s="36"/>
      <c r="AI42" s="36"/>
      <c r="AK42" s="36"/>
      <c r="AL42" s="36"/>
    </row>
    <row r="43" customFormat="false" ht="15" hidden="false" customHeight="false" outlineLevel="0" collapsed="false">
      <c r="AG43" s="36"/>
      <c r="AH43" s="36"/>
      <c r="AI43" s="36"/>
      <c r="AK43" s="36"/>
      <c r="AL43" s="36"/>
    </row>
    <row r="44" customFormat="false" ht="15" hidden="false" customHeight="false" outlineLevel="0" collapsed="false">
      <c r="AG44" s="36"/>
      <c r="AH44" s="36"/>
      <c r="AI44" s="36"/>
      <c r="AK44" s="36"/>
      <c r="AL44" s="36"/>
    </row>
    <row r="45" customFormat="false" ht="15" hidden="false" customHeight="false" outlineLevel="0" collapsed="false">
      <c r="AG45" s="36"/>
      <c r="AH45" s="36"/>
      <c r="AI45" s="36"/>
      <c r="AK45" s="36"/>
      <c r="AL45" s="36"/>
    </row>
    <row r="46" customFormat="false" ht="15" hidden="false" customHeight="false" outlineLevel="0" collapsed="false">
      <c r="AG46" s="36"/>
      <c r="AH46" s="36"/>
      <c r="AI46" s="36"/>
      <c r="AK46" s="36"/>
      <c r="AL46" s="36"/>
    </row>
    <row r="47" customFormat="false" ht="15" hidden="false" customHeight="false" outlineLevel="0" collapsed="false">
      <c r="AG47" s="36"/>
      <c r="AH47" s="36"/>
      <c r="AI47" s="36"/>
      <c r="AK47" s="36"/>
      <c r="AL47" s="36"/>
    </row>
    <row r="48" customFormat="false" ht="15" hidden="false" customHeight="false" outlineLevel="0" collapsed="false">
      <c r="AG48" s="36"/>
      <c r="AH48" s="36"/>
      <c r="AI48" s="36"/>
      <c r="AK48" s="36"/>
      <c r="AL48" s="36"/>
    </row>
    <row r="49" customFormat="false" ht="15" hidden="false" customHeight="false" outlineLevel="0" collapsed="false">
      <c r="AG49" s="36"/>
      <c r="AH49" s="36"/>
      <c r="AI49" s="36"/>
      <c r="AK49" s="36"/>
      <c r="AL49" s="36"/>
    </row>
    <row r="50" customFormat="false" ht="15" hidden="false" customHeight="false" outlineLevel="0" collapsed="false">
      <c r="AG50" s="36"/>
      <c r="AH50" s="36"/>
      <c r="AI50" s="36"/>
      <c r="AK50" s="36"/>
      <c r="AL50" s="36"/>
    </row>
    <row r="51" customFormat="false" ht="15" hidden="false" customHeight="false" outlineLevel="0" collapsed="false">
      <c r="AG51" s="36"/>
      <c r="AH51" s="36"/>
      <c r="AI51" s="36"/>
      <c r="AK51" s="36"/>
      <c r="AL51" s="36"/>
    </row>
    <row r="52" customFormat="false" ht="15" hidden="false" customHeight="false" outlineLevel="0" collapsed="false">
      <c r="AG52" s="36"/>
      <c r="AH52" s="36"/>
      <c r="AI52" s="36"/>
      <c r="AK52" s="36"/>
      <c r="AL52" s="36"/>
    </row>
    <row r="53" customFormat="false" ht="15" hidden="false" customHeight="false" outlineLevel="0" collapsed="false">
      <c r="AG53" s="36"/>
      <c r="AH53" s="36"/>
      <c r="AI53" s="36"/>
      <c r="AK53" s="36"/>
      <c r="AL53" s="36"/>
    </row>
    <row r="54" customFormat="false" ht="15" hidden="false" customHeight="false" outlineLevel="0" collapsed="false">
      <c r="AG54" s="36"/>
      <c r="AH54" s="36"/>
      <c r="AI54" s="36"/>
      <c r="AK54" s="36"/>
      <c r="AL54" s="36"/>
    </row>
    <row r="55" customFormat="false" ht="15" hidden="false" customHeight="false" outlineLevel="0" collapsed="false">
      <c r="AG55" s="36"/>
      <c r="AH55" s="36"/>
      <c r="AI55" s="36"/>
      <c r="AK55" s="36"/>
      <c r="AL55" s="36"/>
    </row>
    <row r="56" customFormat="false" ht="15" hidden="false" customHeight="false" outlineLevel="0" collapsed="false">
      <c r="AG56" s="36"/>
      <c r="AH56" s="36"/>
      <c r="AI56" s="36"/>
      <c r="AK56" s="36"/>
      <c r="AL56" s="36"/>
    </row>
    <row r="57" customFormat="false" ht="15" hidden="false" customHeight="false" outlineLevel="0" collapsed="false">
      <c r="AG57" s="36"/>
      <c r="AH57" s="36"/>
      <c r="AI57" s="36"/>
      <c r="AK57" s="36"/>
      <c r="AL57" s="36"/>
    </row>
    <row r="58" customFormat="false" ht="15" hidden="false" customHeight="false" outlineLevel="0" collapsed="false">
      <c r="AG58" s="36"/>
      <c r="AH58" s="36"/>
      <c r="AI58" s="36"/>
      <c r="AK58" s="36"/>
      <c r="AL58" s="36"/>
    </row>
    <row r="59" customFormat="false" ht="15" hidden="false" customHeight="false" outlineLevel="0" collapsed="false">
      <c r="AG59" s="36"/>
      <c r="AH59" s="36"/>
      <c r="AI59" s="36"/>
      <c r="AK59" s="36"/>
      <c r="AL59" s="36"/>
    </row>
    <row r="60" customFormat="false" ht="15" hidden="false" customHeight="false" outlineLevel="0" collapsed="false">
      <c r="AG60" s="36"/>
      <c r="AH60" s="36"/>
      <c r="AI60" s="36"/>
      <c r="AK60" s="36"/>
      <c r="AL60" s="36"/>
    </row>
    <row r="61" customFormat="false" ht="15" hidden="false" customHeight="false" outlineLevel="0" collapsed="false">
      <c r="AG61" s="36"/>
      <c r="AH61" s="36"/>
      <c r="AI61" s="36"/>
      <c r="AK61" s="36"/>
      <c r="AL61" s="36"/>
    </row>
    <row r="62" customFormat="false" ht="15" hidden="false" customHeight="false" outlineLevel="0" collapsed="false">
      <c r="AG62" s="36"/>
      <c r="AH62" s="36"/>
      <c r="AI62" s="36"/>
      <c r="AK62" s="36"/>
      <c r="AL62" s="36"/>
    </row>
    <row r="63" customFormat="false" ht="15" hidden="false" customHeight="false" outlineLevel="0" collapsed="false">
      <c r="AG63" s="36"/>
      <c r="AH63" s="36"/>
      <c r="AI63" s="36"/>
      <c r="AK63" s="36"/>
      <c r="AL63" s="36"/>
    </row>
    <row r="64" customFormat="false" ht="15" hidden="false" customHeight="false" outlineLevel="0" collapsed="false">
      <c r="AG64" s="36"/>
      <c r="AH64" s="36"/>
      <c r="AI64" s="36"/>
      <c r="AK64" s="36"/>
      <c r="AL64" s="36"/>
    </row>
    <row r="65" customFormat="false" ht="15" hidden="false" customHeight="false" outlineLevel="0" collapsed="false">
      <c r="AG65" s="36"/>
      <c r="AH65" s="36"/>
      <c r="AI65" s="36"/>
      <c r="AK65" s="36"/>
      <c r="AL65" s="36"/>
    </row>
    <row r="66" customFormat="false" ht="15" hidden="false" customHeight="false" outlineLevel="0" collapsed="false">
      <c r="AG66" s="36"/>
      <c r="AH66" s="36"/>
      <c r="AI66" s="36"/>
      <c r="AK66" s="36"/>
      <c r="AL66" s="36"/>
    </row>
    <row r="67" customFormat="false" ht="15" hidden="false" customHeight="false" outlineLevel="0" collapsed="false">
      <c r="AG67" s="36"/>
      <c r="AH67" s="36"/>
      <c r="AI67" s="36"/>
      <c r="AK67" s="36"/>
      <c r="AL67" s="36"/>
    </row>
    <row r="68" customFormat="false" ht="15" hidden="false" customHeight="false" outlineLevel="0" collapsed="false">
      <c r="AG68" s="36"/>
      <c r="AH68" s="36"/>
      <c r="AI68" s="36"/>
      <c r="AK68" s="36"/>
      <c r="AL68" s="36"/>
    </row>
    <row r="69" customFormat="false" ht="15" hidden="false" customHeight="false" outlineLevel="0" collapsed="false">
      <c r="AG69" s="36"/>
      <c r="AH69" s="36"/>
      <c r="AI69" s="36"/>
      <c r="AK69" s="36"/>
      <c r="AL69" s="36"/>
    </row>
    <row r="70" customFormat="false" ht="15" hidden="false" customHeight="false" outlineLevel="0" collapsed="false">
      <c r="AG70" s="36"/>
      <c r="AH70" s="36"/>
      <c r="AI70" s="36"/>
      <c r="AK70" s="36"/>
      <c r="AL70" s="36"/>
    </row>
    <row r="71" customFormat="false" ht="15" hidden="false" customHeight="false" outlineLevel="0" collapsed="false">
      <c r="AG71" s="36"/>
      <c r="AH71" s="36"/>
      <c r="AI71" s="36"/>
      <c r="AK71" s="36"/>
      <c r="AL71" s="36"/>
    </row>
    <row r="72" customFormat="false" ht="15" hidden="false" customHeight="false" outlineLevel="0" collapsed="false">
      <c r="AG72" s="36"/>
      <c r="AH72" s="36"/>
      <c r="AI72" s="36"/>
      <c r="AK72" s="36"/>
      <c r="AL72" s="36"/>
    </row>
    <row r="73" customFormat="false" ht="15" hidden="false" customHeight="false" outlineLevel="0" collapsed="false">
      <c r="AG73" s="36"/>
      <c r="AH73" s="36"/>
      <c r="AI73" s="36"/>
      <c r="AK73" s="36"/>
      <c r="AL73" s="36"/>
    </row>
    <row r="74" customFormat="false" ht="15" hidden="false" customHeight="false" outlineLevel="0" collapsed="false">
      <c r="AG74" s="36"/>
      <c r="AH74" s="36"/>
      <c r="AI74" s="36"/>
      <c r="AK74" s="36"/>
      <c r="AL74" s="36"/>
    </row>
    <row r="75" customFormat="false" ht="15" hidden="false" customHeight="false" outlineLevel="0" collapsed="false">
      <c r="AG75" s="36"/>
      <c r="AH75" s="36"/>
      <c r="AI75" s="36"/>
      <c r="AK75" s="36"/>
      <c r="AL75" s="36"/>
    </row>
    <row r="76" customFormat="false" ht="15" hidden="false" customHeight="false" outlineLevel="0" collapsed="false">
      <c r="AG76" s="36"/>
      <c r="AH76" s="36"/>
      <c r="AI76" s="36"/>
      <c r="AK76" s="36"/>
      <c r="AL76" s="36"/>
    </row>
    <row r="77" customFormat="false" ht="15" hidden="false" customHeight="false" outlineLevel="0" collapsed="false">
      <c r="AG77" s="36"/>
      <c r="AH77" s="36"/>
      <c r="AI77" s="36"/>
      <c r="AK77" s="36"/>
      <c r="AL77" s="36"/>
    </row>
    <row r="78" customFormat="false" ht="15" hidden="false" customHeight="false" outlineLevel="0" collapsed="false">
      <c r="AG78" s="36"/>
      <c r="AH78" s="36"/>
      <c r="AI78" s="36"/>
      <c r="AK78" s="36"/>
      <c r="AL78" s="36"/>
    </row>
    <row r="79" customFormat="false" ht="15" hidden="false" customHeight="false" outlineLevel="0" collapsed="false">
      <c r="AG79" s="36"/>
      <c r="AH79" s="36"/>
      <c r="AI79" s="36"/>
      <c r="AK79" s="36"/>
      <c r="AL79" s="36"/>
    </row>
    <row r="80" customFormat="false" ht="15" hidden="false" customHeight="false" outlineLevel="0" collapsed="false">
      <c r="AG80" s="36"/>
      <c r="AH80" s="36"/>
      <c r="AI80" s="36"/>
      <c r="AK80" s="36"/>
      <c r="AL80" s="36"/>
    </row>
    <row r="81" customFormat="false" ht="15" hidden="false" customHeight="false" outlineLevel="0" collapsed="false">
      <c r="AG81" s="36"/>
      <c r="AH81" s="36"/>
      <c r="AI81" s="36"/>
      <c r="AK81" s="36"/>
      <c r="AL81" s="36"/>
    </row>
    <row r="82" customFormat="false" ht="15" hidden="false" customHeight="false" outlineLevel="0" collapsed="false">
      <c r="AG82" s="36"/>
      <c r="AH82" s="36"/>
      <c r="AI82" s="36"/>
      <c r="AK82" s="36"/>
      <c r="AL82" s="36"/>
    </row>
    <row r="83" customFormat="false" ht="15" hidden="false" customHeight="false" outlineLevel="0" collapsed="false">
      <c r="AG83" s="36"/>
      <c r="AH83" s="36"/>
      <c r="AI83" s="36"/>
      <c r="AK83" s="36"/>
      <c r="AL83" s="36"/>
    </row>
    <row r="84" customFormat="false" ht="15" hidden="false" customHeight="false" outlineLevel="0" collapsed="false">
      <c r="AG84" s="36"/>
      <c r="AH84" s="36"/>
      <c r="AI84" s="36"/>
      <c r="AK84" s="36"/>
      <c r="AL84" s="36"/>
    </row>
    <row r="85" customFormat="false" ht="15" hidden="false" customHeight="false" outlineLevel="0" collapsed="false">
      <c r="AG85" s="36"/>
      <c r="AH85" s="36"/>
      <c r="AI85" s="36"/>
      <c r="AK85" s="36"/>
      <c r="AL85" s="36"/>
    </row>
    <row r="86" customFormat="false" ht="15" hidden="false" customHeight="false" outlineLevel="0" collapsed="false">
      <c r="AG86" s="36"/>
      <c r="AH86" s="36"/>
      <c r="AI86" s="36"/>
      <c r="AK86" s="36"/>
      <c r="AL86" s="36"/>
    </row>
    <row r="87" customFormat="false" ht="15" hidden="false" customHeight="false" outlineLevel="0" collapsed="false">
      <c r="AG87" s="36"/>
      <c r="AH87" s="36"/>
      <c r="AI87" s="36"/>
      <c r="AK87" s="36"/>
      <c r="AL87" s="36"/>
    </row>
    <row r="88" customFormat="false" ht="15" hidden="false" customHeight="false" outlineLevel="0" collapsed="false">
      <c r="AG88" s="36"/>
      <c r="AH88" s="36"/>
      <c r="AI88" s="36"/>
      <c r="AK88" s="36"/>
      <c r="AL88" s="36"/>
    </row>
    <row r="89" customFormat="false" ht="15" hidden="false" customHeight="false" outlineLevel="0" collapsed="false">
      <c r="AG89" s="36"/>
      <c r="AH89" s="36"/>
      <c r="AI89" s="36"/>
      <c r="AK89" s="36"/>
      <c r="AL89" s="36"/>
    </row>
    <row r="90" customFormat="false" ht="15" hidden="false" customHeight="false" outlineLevel="0" collapsed="false">
      <c r="AG90" s="36"/>
      <c r="AH90" s="36"/>
      <c r="AI90" s="36"/>
      <c r="AK90" s="36"/>
      <c r="AL90" s="36"/>
    </row>
    <row r="91" customFormat="false" ht="15" hidden="false" customHeight="false" outlineLevel="0" collapsed="false">
      <c r="AG91" s="36"/>
      <c r="AH91" s="36"/>
      <c r="AI91" s="36"/>
      <c r="AK91" s="36"/>
      <c r="AL91" s="36"/>
    </row>
    <row r="92" customFormat="false" ht="15" hidden="false" customHeight="false" outlineLevel="0" collapsed="false">
      <c r="AG92" s="36"/>
      <c r="AH92" s="36"/>
      <c r="AI92" s="36"/>
      <c r="AK92" s="36"/>
      <c r="AL92" s="36"/>
    </row>
    <row r="93" customFormat="false" ht="15" hidden="false" customHeight="false" outlineLevel="0" collapsed="false">
      <c r="AG93" s="36"/>
      <c r="AH93" s="36"/>
      <c r="AI93" s="36"/>
      <c r="AK93" s="36"/>
      <c r="AL93" s="36"/>
    </row>
    <row r="94" customFormat="false" ht="15" hidden="false" customHeight="false" outlineLevel="0" collapsed="false">
      <c r="AG94" s="36"/>
      <c r="AH94" s="36"/>
      <c r="AI94" s="36"/>
      <c r="AK94" s="36"/>
      <c r="AL94" s="36"/>
    </row>
    <row r="95" customFormat="false" ht="15" hidden="false" customHeight="false" outlineLevel="0" collapsed="false">
      <c r="AG95" s="36"/>
      <c r="AH95" s="36"/>
      <c r="AI95" s="36"/>
      <c r="AK95" s="36"/>
      <c r="AL95" s="36"/>
    </row>
    <row r="96" customFormat="false" ht="15" hidden="false" customHeight="false" outlineLevel="0" collapsed="false">
      <c r="AG96" s="36"/>
      <c r="AH96" s="36"/>
      <c r="AI96" s="36"/>
      <c r="AK96" s="36"/>
      <c r="AL96" s="36"/>
    </row>
    <row r="97" customFormat="false" ht="15" hidden="false" customHeight="false" outlineLevel="0" collapsed="false">
      <c r="AG97" s="36"/>
      <c r="AH97" s="36"/>
      <c r="AI97" s="36"/>
      <c r="AK97" s="36"/>
      <c r="AL97" s="36"/>
    </row>
    <row r="98" customFormat="false" ht="15" hidden="false" customHeight="false" outlineLevel="0" collapsed="false">
      <c r="AG98" s="36"/>
      <c r="AH98" s="36"/>
      <c r="AI98" s="36"/>
      <c r="AK98" s="36"/>
      <c r="AL98" s="36"/>
    </row>
    <row r="99" customFormat="false" ht="15" hidden="false" customHeight="false" outlineLevel="0" collapsed="false">
      <c r="AG99" s="36"/>
      <c r="AH99" s="36"/>
      <c r="AI99" s="36"/>
      <c r="AK99" s="36"/>
      <c r="AL99" s="36"/>
    </row>
    <row r="100" customFormat="false" ht="15" hidden="false" customHeight="false" outlineLevel="0" collapsed="false">
      <c r="AG100" s="36"/>
      <c r="AH100" s="36"/>
      <c r="AI100" s="36"/>
      <c r="AK100" s="36"/>
      <c r="AL100" s="36"/>
    </row>
    <row r="101" customFormat="false" ht="15" hidden="false" customHeight="false" outlineLevel="0" collapsed="false">
      <c r="AG101" s="36"/>
      <c r="AH101" s="36"/>
      <c r="AI101" s="36"/>
      <c r="AK101" s="36"/>
      <c r="AL101" s="36"/>
    </row>
    <row r="102" customFormat="false" ht="15" hidden="false" customHeight="false" outlineLevel="0" collapsed="false">
      <c r="AG102" s="36"/>
      <c r="AH102" s="36"/>
      <c r="AI102" s="36"/>
      <c r="AK102" s="36"/>
      <c r="AL102" s="36"/>
    </row>
    <row r="103" customFormat="false" ht="15" hidden="false" customHeight="false" outlineLevel="0" collapsed="false">
      <c r="AG103" s="36"/>
      <c r="AH103" s="36"/>
      <c r="AI103" s="36"/>
      <c r="AK103" s="36"/>
      <c r="AL103" s="36"/>
    </row>
    <row r="104" customFormat="false" ht="15" hidden="false" customHeight="false" outlineLevel="0" collapsed="false">
      <c r="AG104" s="36"/>
      <c r="AH104" s="36"/>
      <c r="AI104" s="36"/>
      <c r="AK104" s="36"/>
      <c r="AL104" s="36"/>
    </row>
    <row r="105" customFormat="false" ht="15" hidden="false" customHeight="false" outlineLevel="0" collapsed="false">
      <c r="AG105" s="36"/>
      <c r="AH105" s="36"/>
      <c r="AI105" s="36"/>
      <c r="AK105" s="36"/>
      <c r="AL105" s="36"/>
    </row>
    <row r="106" customFormat="false" ht="15" hidden="false" customHeight="false" outlineLevel="0" collapsed="false">
      <c r="AG106" s="36"/>
      <c r="AH106" s="36"/>
      <c r="AI106" s="36"/>
      <c r="AK106" s="36"/>
      <c r="AL106" s="36"/>
    </row>
    <row r="107" customFormat="false" ht="15" hidden="false" customHeight="false" outlineLevel="0" collapsed="false">
      <c r="AG107" s="36"/>
      <c r="AH107" s="36"/>
      <c r="AI107" s="36"/>
      <c r="AK107" s="36"/>
      <c r="AL107" s="36"/>
    </row>
    <row r="108" customFormat="false" ht="15" hidden="false" customHeight="false" outlineLevel="0" collapsed="false">
      <c r="AG108" s="36"/>
      <c r="AH108" s="36"/>
      <c r="AI108" s="36"/>
      <c r="AK108" s="36"/>
      <c r="AL108" s="36"/>
    </row>
    <row r="109" customFormat="false" ht="15" hidden="false" customHeight="false" outlineLevel="0" collapsed="false">
      <c r="AG109" s="36"/>
      <c r="AH109" s="36"/>
      <c r="AI109" s="36"/>
      <c r="AK109" s="36"/>
      <c r="AL109" s="36"/>
    </row>
    <row r="110" customFormat="false" ht="15" hidden="false" customHeight="false" outlineLevel="0" collapsed="false">
      <c r="AG110" s="36"/>
      <c r="AH110" s="36"/>
      <c r="AI110" s="36"/>
      <c r="AK110" s="36"/>
      <c r="AL110" s="36"/>
    </row>
    <row r="111" customFormat="false" ht="15" hidden="false" customHeight="false" outlineLevel="0" collapsed="false">
      <c r="AG111" s="36"/>
      <c r="AH111" s="36"/>
      <c r="AI111" s="36"/>
      <c r="AK111" s="36"/>
      <c r="AL111" s="36"/>
    </row>
    <row r="112" customFormat="false" ht="15" hidden="false" customHeight="false" outlineLevel="0" collapsed="false">
      <c r="AG112" s="36"/>
      <c r="AH112" s="36"/>
      <c r="AI112" s="36"/>
      <c r="AK112" s="36"/>
      <c r="AL112" s="36"/>
    </row>
    <row r="113" customFormat="false" ht="15" hidden="false" customHeight="false" outlineLevel="0" collapsed="false">
      <c r="AG113" s="36"/>
      <c r="AH113" s="36"/>
      <c r="AI113" s="36"/>
      <c r="AK113" s="36"/>
      <c r="AL113" s="36"/>
    </row>
    <row r="114" customFormat="false" ht="15" hidden="false" customHeight="false" outlineLevel="0" collapsed="false">
      <c r="AG114" s="36"/>
      <c r="AH114" s="36"/>
      <c r="AI114" s="36"/>
      <c r="AK114" s="36"/>
      <c r="AL114" s="36"/>
    </row>
    <row r="115" customFormat="false" ht="15" hidden="false" customHeight="false" outlineLevel="0" collapsed="false">
      <c r="AG115" s="36"/>
      <c r="AH115" s="36"/>
      <c r="AI115" s="36"/>
      <c r="AK115" s="36"/>
      <c r="AL115" s="36"/>
    </row>
    <row r="116" customFormat="false" ht="15" hidden="false" customHeight="false" outlineLevel="0" collapsed="false">
      <c r="AG116" s="36"/>
      <c r="AH116" s="36"/>
      <c r="AI116" s="36"/>
      <c r="AK116" s="36"/>
      <c r="AL116" s="36"/>
    </row>
    <row r="117" customFormat="false" ht="15" hidden="false" customHeight="false" outlineLevel="0" collapsed="false">
      <c r="AG117" s="36"/>
      <c r="AH117" s="36"/>
      <c r="AI117" s="36"/>
      <c r="AK117" s="36"/>
      <c r="AL117" s="36"/>
    </row>
    <row r="118" customFormat="false" ht="15" hidden="false" customHeight="false" outlineLevel="0" collapsed="false">
      <c r="AG118" s="36"/>
      <c r="AH118" s="36"/>
      <c r="AI118" s="36"/>
      <c r="AK118" s="36"/>
      <c r="AL118" s="36"/>
    </row>
    <row r="119" customFormat="false" ht="15" hidden="false" customHeight="false" outlineLevel="0" collapsed="false">
      <c r="AG119" s="36"/>
      <c r="AH119" s="36"/>
      <c r="AI119" s="36"/>
      <c r="AK119" s="36"/>
      <c r="AL119" s="36"/>
    </row>
    <row r="120" customFormat="false" ht="15" hidden="false" customHeight="false" outlineLevel="0" collapsed="false">
      <c r="AG120" s="36"/>
      <c r="AH120" s="36"/>
      <c r="AI120" s="36"/>
      <c r="AK120" s="36"/>
      <c r="AL120" s="36"/>
    </row>
    <row r="121" customFormat="false" ht="15" hidden="false" customHeight="false" outlineLevel="0" collapsed="false">
      <c r="AG121" s="36"/>
      <c r="AH121" s="36"/>
      <c r="AI121" s="36"/>
      <c r="AK121" s="36"/>
      <c r="AL121" s="36"/>
    </row>
    <row r="122" customFormat="false" ht="15" hidden="false" customHeight="false" outlineLevel="0" collapsed="false">
      <c r="AG122" s="36"/>
      <c r="AH122" s="36"/>
      <c r="AI122" s="36"/>
      <c r="AK122" s="36"/>
      <c r="AL122" s="36"/>
    </row>
    <row r="123" customFormat="false" ht="15" hidden="false" customHeight="false" outlineLevel="0" collapsed="false">
      <c r="AG123" s="36"/>
      <c r="AH123" s="36"/>
      <c r="AI123" s="36"/>
      <c r="AK123" s="36"/>
      <c r="AL123" s="36"/>
    </row>
    <row r="124" customFormat="false" ht="15" hidden="false" customHeight="false" outlineLevel="0" collapsed="false">
      <c r="AG124" s="36"/>
      <c r="AH124" s="36"/>
      <c r="AI124" s="36"/>
      <c r="AK124" s="36"/>
      <c r="AL124" s="36"/>
    </row>
    <row r="125" customFormat="false" ht="15" hidden="false" customHeight="false" outlineLevel="0" collapsed="false">
      <c r="AG125" s="36"/>
      <c r="AH125" s="36"/>
      <c r="AI125" s="36"/>
      <c r="AK125" s="36"/>
      <c r="AL125" s="36"/>
    </row>
    <row r="126" customFormat="false" ht="15" hidden="false" customHeight="false" outlineLevel="0" collapsed="false">
      <c r="AG126" s="36"/>
      <c r="AH126" s="36"/>
      <c r="AI126" s="36"/>
      <c r="AK126" s="36"/>
      <c r="AL126" s="36"/>
    </row>
    <row r="127" customFormat="false" ht="15" hidden="false" customHeight="false" outlineLevel="0" collapsed="false">
      <c r="AG127" s="36"/>
      <c r="AH127" s="36"/>
      <c r="AI127" s="36"/>
      <c r="AK127" s="36"/>
      <c r="AL127" s="36"/>
    </row>
    <row r="128" customFormat="false" ht="15" hidden="false" customHeight="false" outlineLevel="0" collapsed="false">
      <c r="AG128" s="36"/>
      <c r="AH128" s="36"/>
      <c r="AI128" s="36"/>
      <c r="AK128" s="36"/>
      <c r="AL128" s="36"/>
    </row>
    <row r="129" customFormat="false" ht="15" hidden="false" customHeight="false" outlineLevel="0" collapsed="false">
      <c r="AG129" s="36"/>
      <c r="AH129" s="36"/>
      <c r="AI129" s="36"/>
      <c r="AK129" s="36"/>
      <c r="AL129" s="36"/>
    </row>
    <row r="130" customFormat="false" ht="15" hidden="false" customHeight="false" outlineLevel="0" collapsed="false">
      <c r="AG130" s="36"/>
      <c r="AH130" s="36"/>
      <c r="AI130" s="36"/>
      <c r="AK130" s="36"/>
      <c r="AL130" s="36"/>
    </row>
    <row r="131" customFormat="false" ht="15" hidden="false" customHeight="false" outlineLevel="0" collapsed="false">
      <c r="AG131" s="36"/>
      <c r="AH131" s="36"/>
      <c r="AI131" s="36"/>
      <c r="AK131" s="36"/>
      <c r="AL131" s="36"/>
    </row>
    <row r="132" customFormat="false" ht="15" hidden="false" customHeight="false" outlineLevel="0" collapsed="false">
      <c r="AG132" s="36"/>
      <c r="AH132" s="36"/>
      <c r="AI132" s="36"/>
      <c r="AK132" s="36"/>
      <c r="AL132" s="36"/>
    </row>
    <row r="133" customFormat="false" ht="15" hidden="false" customHeight="false" outlineLevel="0" collapsed="false">
      <c r="AG133" s="36"/>
      <c r="AH133" s="36"/>
      <c r="AI133" s="36"/>
      <c r="AK133" s="36"/>
      <c r="AL133" s="36"/>
    </row>
    <row r="134" customFormat="false" ht="15" hidden="false" customHeight="false" outlineLevel="0" collapsed="false">
      <c r="AG134" s="36"/>
      <c r="AH134" s="36"/>
      <c r="AI134" s="36"/>
      <c r="AK134" s="36"/>
      <c r="AL134" s="36"/>
    </row>
    <row r="135" customFormat="false" ht="15" hidden="false" customHeight="false" outlineLevel="0" collapsed="false">
      <c r="AG135" s="36"/>
      <c r="AH135" s="36"/>
      <c r="AI135" s="36"/>
      <c r="AK135" s="36"/>
      <c r="AL135" s="36"/>
    </row>
    <row r="136" customFormat="false" ht="15" hidden="false" customHeight="false" outlineLevel="0" collapsed="false">
      <c r="AG136" s="36"/>
      <c r="AH136" s="36"/>
      <c r="AI136" s="36"/>
      <c r="AK136" s="36"/>
      <c r="AL136" s="36"/>
    </row>
    <row r="137" customFormat="false" ht="15" hidden="false" customHeight="false" outlineLevel="0" collapsed="false">
      <c r="AG137" s="36"/>
      <c r="AH137" s="36"/>
      <c r="AI137" s="36"/>
      <c r="AK137" s="36"/>
      <c r="AL137" s="36"/>
    </row>
    <row r="138" customFormat="false" ht="15" hidden="false" customHeight="false" outlineLevel="0" collapsed="false">
      <c r="AG138" s="36"/>
      <c r="AH138" s="36"/>
      <c r="AI138" s="36"/>
      <c r="AK138" s="36"/>
      <c r="AL138" s="36"/>
    </row>
    <row r="139" customFormat="false" ht="15" hidden="false" customHeight="false" outlineLevel="0" collapsed="false">
      <c r="AG139" s="36"/>
      <c r="AH139" s="36"/>
      <c r="AI139" s="36"/>
      <c r="AK139" s="36"/>
      <c r="AL139" s="36"/>
    </row>
    <row r="140" customFormat="false" ht="15" hidden="false" customHeight="false" outlineLevel="0" collapsed="false">
      <c r="AG140" s="36"/>
      <c r="AH140" s="36"/>
      <c r="AI140" s="36"/>
      <c r="AK140" s="36"/>
      <c r="AL140" s="36"/>
    </row>
    <row r="141" customFormat="false" ht="15" hidden="false" customHeight="false" outlineLevel="0" collapsed="false">
      <c r="AG141" s="36"/>
      <c r="AH141" s="36"/>
      <c r="AI141" s="36"/>
      <c r="AK141" s="36"/>
      <c r="AL141" s="36"/>
    </row>
    <row r="142" customFormat="false" ht="15" hidden="false" customHeight="false" outlineLevel="0" collapsed="false">
      <c r="AG142" s="36"/>
      <c r="AH142" s="36"/>
      <c r="AI142" s="36"/>
      <c r="AK142" s="36"/>
      <c r="AL142" s="36"/>
    </row>
    <row r="143" customFormat="false" ht="15" hidden="false" customHeight="false" outlineLevel="0" collapsed="false">
      <c r="AG143" s="36"/>
      <c r="AH143" s="36"/>
      <c r="AI143" s="36"/>
      <c r="AK143" s="36"/>
      <c r="AL143" s="36"/>
    </row>
    <row r="144" customFormat="false" ht="15" hidden="false" customHeight="false" outlineLevel="0" collapsed="false">
      <c r="AG144" s="36"/>
      <c r="AH144" s="36"/>
      <c r="AI144" s="36"/>
      <c r="AK144" s="36"/>
      <c r="AL144" s="36"/>
    </row>
    <row r="145" customFormat="false" ht="15" hidden="false" customHeight="false" outlineLevel="0" collapsed="false">
      <c r="AG145" s="36"/>
      <c r="AH145" s="36"/>
      <c r="AI145" s="36"/>
      <c r="AK145" s="36"/>
      <c r="AL145" s="36"/>
    </row>
    <row r="146" customFormat="false" ht="15" hidden="false" customHeight="false" outlineLevel="0" collapsed="false">
      <c r="AG146" s="36"/>
      <c r="AH146" s="36"/>
      <c r="AI146" s="36"/>
      <c r="AK146" s="36"/>
      <c r="AL146" s="36"/>
    </row>
    <row r="147" customFormat="false" ht="15" hidden="false" customHeight="false" outlineLevel="0" collapsed="false">
      <c r="AG147" s="36"/>
      <c r="AH147" s="36"/>
      <c r="AI147" s="36"/>
      <c r="AK147" s="36"/>
      <c r="AL147" s="36"/>
    </row>
    <row r="148" customFormat="false" ht="15" hidden="false" customHeight="false" outlineLevel="0" collapsed="false">
      <c r="AG148" s="36"/>
      <c r="AH148" s="36"/>
      <c r="AI148" s="36"/>
      <c r="AK148" s="36"/>
      <c r="AL148" s="36"/>
    </row>
    <row r="149" customFormat="false" ht="15" hidden="false" customHeight="false" outlineLevel="0" collapsed="false">
      <c r="AG149" s="36"/>
      <c r="AH149" s="36"/>
      <c r="AI149" s="36"/>
      <c r="AK149" s="36"/>
      <c r="AL149" s="36"/>
    </row>
    <row r="150" customFormat="false" ht="15" hidden="false" customHeight="false" outlineLevel="0" collapsed="false">
      <c r="AG150" s="36"/>
      <c r="AH150" s="36"/>
      <c r="AI150" s="36"/>
      <c r="AK150" s="36"/>
      <c r="AL150" s="36"/>
    </row>
    <row r="151" customFormat="false" ht="15" hidden="false" customHeight="false" outlineLevel="0" collapsed="false">
      <c r="AG151" s="36"/>
      <c r="AH151" s="36"/>
      <c r="AI151" s="36"/>
      <c r="AK151" s="36"/>
      <c r="AL151" s="36"/>
    </row>
    <row r="152" customFormat="false" ht="15" hidden="false" customHeight="false" outlineLevel="0" collapsed="false">
      <c r="AG152" s="36"/>
      <c r="AH152" s="36"/>
      <c r="AI152" s="36"/>
      <c r="AK152" s="36"/>
      <c r="AL152" s="36"/>
    </row>
    <row r="153" customFormat="false" ht="15" hidden="false" customHeight="false" outlineLevel="0" collapsed="false">
      <c r="AG153" s="36"/>
      <c r="AH153" s="36"/>
      <c r="AI153" s="36"/>
      <c r="AK153" s="36"/>
      <c r="AL153" s="36"/>
    </row>
    <row r="154" customFormat="false" ht="15" hidden="false" customHeight="false" outlineLevel="0" collapsed="false">
      <c r="AG154" s="36"/>
      <c r="AH154" s="36"/>
      <c r="AI154" s="36"/>
      <c r="AK154" s="36"/>
      <c r="AL154" s="36"/>
    </row>
    <row r="155" customFormat="false" ht="15" hidden="false" customHeight="false" outlineLevel="0" collapsed="false">
      <c r="AG155" s="36"/>
      <c r="AH155" s="36"/>
      <c r="AI155" s="36"/>
      <c r="AK155" s="36"/>
      <c r="AL155" s="36"/>
    </row>
    <row r="156" customFormat="false" ht="15" hidden="false" customHeight="false" outlineLevel="0" collapsed="false">
      <c r="AG156" s="36"/>
      <c r="AH156" s="36"/>
      <c r="AI156" s="36"/>
      <c r="AK156" s="36"/>
      <c r="AL156" s="36"/>
    </row>
    <row r="157" customFormat="false" ht="15" hidden="false" customHeight="false" outlineLevel="0" collapsed="false">
      <c r="AG157" s="36"/>
      <c r="AH157" s="36"/>
      <c r="AI157" s="36"/>
      <c r="AK157" s="36"/>
      <c r="AL157" s="36"/>
    </row>
    <row r="158" customFormat="false" ht="15" hidden="false" customHeight="false" outlineLevel="0" collapsed="false">
      <c r="AG158" s="36"/>
      <c r="AH158" s="36"/>
      <c r="AI158" s="36"/>
      <c r="AK158" s="36"/>
      <c r="AL158" s="36"/>
    </row>
    <row r="159" customFormat="false" ht="15" hidden="false" customHeight="false" outlineLevel="0" collapsed="false">
      <c r="AG159" s="36"/>
      <c r="AH159" s="36"/>
      <c r="AI159" s="36"/>
      <c r="AK159" s="36"/>
      <c r="AL159" s="36"/>
    </row>
    <row r="160" customFormat="false" ht="15" hidden="false" customHeight="false" outlineLevel="0" collapsed="false">
      <c r="AG160" s="36"/>
      <c r="AH160" s="36"/>
      <c r="AI160" s="36"/>
      <c r="AK160" s="36"/>
      <c r="AL160" s="36"/>
    </row>
    <row r="161" customFormat="false" ht="15" hidden="false" customHeight="false" outlineLevel="0" collapsed="false">
      <c r="AG161" s="36"/>
      <c r="AH161" s="36"/>
      <c r="AI161" s="36"/>
      <c r="AK161" s="36"/>
      <c r="AL161" s="36"/>
    </row>
    <row r="162" customFormat="false" ht="15" hidden="false" customHeight="false" outlineLevel="0" collapsed="false">
      <c r="AG162" s="36"/>
      <c r="AH162" s="36"/>
      <c r="AI162" s="36"/>
      <c r="AK162" s="36"/>
      <c r="AL162" s="36"/>
    </row>
    <row r="163" customFormat="false" ht="15" hidden="false" customHeight="false" outlineLevel="0" collapsed="false">
      <c r="AG163" s="36"/>
      <c r="AH163" s="36"/>
      <c r="AI163" s="36"/>
      <c r="AK163" s="36"/>
      <c r="AL163" s="36"/>
    </row>
    <row r="164" customFormat="false" ht="15" hidden="false" customHeight="false" outlineLevel="0" collapsed="false">
      <c r="AG164" s="36"/>
      <c r="AH164" s="36"/>
      <c r="AI164" s="36"/>
      <c r="AK164" s="36"/>
      <c r="AL164" s="36"/>
    </row>
    <row r="165" customFormat="false" ht="15" hidden="false" customHeight="false" outlineLevel="0" collapsed="false">
      <c r="AG165" s="36"/>
      <c r="AH165" s="36"/>
      <c r="AI165" s="36"/>
      <c r="AK165" s="36"/>
      <c r="AL165" s="36"/>
    </row>
    <row r="166" customFormat="false" ht="15" hidden="false" customHeight="false" outlineLevel="0" collapsed="false">
      <c r="AG166" s="36"/>
      <c r="AH166" s="36"/>
      <c r="AI166" s="36"/>
      <c r="AK166" s="36"/>
      <c r="AL166" s="36"/>
    </row>
    <row r="167" customFormat="false" ht="15" hidden="false" customHeight="false" outlineLevel="0" collapsed="false">
      <c r="AG167" s="36"/>
      <c r="AH167" s="36"/>
      <c r="AI167" s="36"/>
      <c r="AK167" s="36"/>
      <c r="AL167" s="36"/>
    </row>
    <row r="168" customFormat="false" ht="15" hidden="false" customHeight="false" outlineLevel="0" collapsed="false">
      <c r="AG168" s="36"/>
      <c r="AH168" s="36"/>
      <c r="AI168" s="36"/>
      <c r="AK168" s="36"/>
      <c r="AL168" s="36"/>
    </row>
    <row r="169" customFormat="false" ht="15" hidden="false" customHeight="false" outlineLevel="0" collapsed="false">
      <c r="AG169" s="36"/>
      <c r="AH169" s="36"/>
      <c r="AI169" s="36"/>
      <c r="AK169" s="36"/>
      <c r="AL169" s="36"/>
    </row>
    <row r="170" customFormat="false" ht="15" hidden="false" customHeight="false" outlineLevel="0" collapsed="false">
      <c r="AG170" s="36"/>
      <c r="AH170" s="36"/>
      <c r="AI170" s="36"/>
      <c r="AK170" s="36"/>
      <c r="AL170" s="36"/>
    </row>
    <row r="171" customFormat="false" ht="15" hidden="false" customHeight="false" outlineLevel="0" collapsed="false">
      <c r="AG171" s="36"/>
      <c r="AH171" s="36"/>
      <c r="AI171" s="36"/>
      <c r="AK171" s="36"/>
      <c r="AL171" s="36"/>
    </row>
    <row r="172" customFormat="false" ht="15" hidden="false" customHeight="false" outlineLevel="0" collapsed="false">
      <c r="AG172" s="36"/>
      <c r="AH172" s="36"/>
      <c r="AI172" s="36"/>
      <c r="AK172" s="36"/>
      <c r="AL172" s="36"/>
    </row>
    <row r="173" customFormat="false" ht="15" hidden="false" customHeight="false" outlineLevel="0" collapsed="false">
      <c r="AG173" s="36"/>
      <c r="AH173" s="36"/>
      <c r="AI173" s="36"/>
      <c r="AK173" s="36"/>
      <c r="AL173" s="36"/>
    </row>
    <row r="174" customFormat="false" ht="15" hidden="false" customHeight="false" outlineLevel="0" collapsed="false">
      <c r="AG174" s="36"/>
      <c r="AH174" s="36"/>
      <c r="AI174" s="36"/>
      <c r="AK174" s="36"/>
      <c r="AL174" s="36"/>
    </row>
    <row r="175" customFormat="false" ht="15" hidden="false" customHeight="false" outlineLevel="0" collapsed="false">
      <c r="AG175" s="36"/>
      <c r="AH175" s="36"/>
      <c r="AI175" s="36"/>
      <c r="AK175" s="36"/>
      <c r="AL175" s="36"/>
    </row>
    <row r="176" customFormat="false" ht="15" hidden="false" customHeight="false" outlineLevel="0" collapsed="false">
      <c r="AG176" s="36"/>
      <c r="AH176" s="36"/>
      <c r="AI176" s="36"/>
      <c r="AK176" s="36"/>
      <c r="AL176" s="36"/>
    </row>
    <row r="177" customFormat="false" ht="15" hidden="false" customHeight="false" outlineLevel="0" collapsed="false">
      <c r="AG177" s="36"/>
      <c r="AH177" s="36"/>
      <c r="AI177" s="36"/>
      <c r="AK177" s="36"/>
      <c r="AL177" s="36"/>
    </row>
    <row r="178" customFormat="false" ht="15" hidden="false" customHeight="false" outlineLevel="0" collapsed="false">
      <c r="AG178" s="36"/>
      <c r="AH178" s="36"/>
      <c r="AI178" s="36"/>
      <c r="AK178" s="36"/>
      <c r="AL178" s="36"/>
    </row>
    <row r="179" customFormat="false" ht="15" hidden="false" customHeight="false" outlineLevel="0" collapsed="false">
      <c r="AG179" s="36"/>
      <c r="AH179" s="36"/>
      <c r="AI179" s="36"/>
      <c r="AK179" s="36"/>
      <c r="AL179" s="36"/>
    </row>
    <row r="180" customFormat="false" ht="15" hidden="false" customHeight="false" outlineLevel="0" collapsed="false">
      <c r="AG180" s="36"/>
      <c r="AH180" s="36"/>
      <c r="AI180" s="36"/>
      <c r="AK180" s="36"/>
      <c r="AL180" s="36"/>
    </row>
    <row r="181" customFormat="false" ht="15" hidden="false" customHeight="false" outlineLevel="0" collapsed="false">
      <c r="AG181" s="36"/>
      <c r="AH181" s="36"/>
      <c r="AI181" s="36"/>
      <c r="AK181" s="36"/>
      <c r="AL181" s="36"/>
    </row>
    <row r="182" customFormat="false" ht="15" hidden="false" customHeight="false" outlineLevel="0" collapsed="false">
      <c r="AG182" s="36"/>
      <c r="AH182" s="36"/>
      <c r="AI182" s="36"/>
      <c r="AK182" s="36"/>
      <c r="AL182" s="36"/>
    </row>
    <row r="183" customFormat="false" ht="15" hidden="false" customHeight="false" outlineLevel="0" collapsed="false">
      <c r="AG183" s="36"/>
      <c r="AH183" s="36"/>
      <c r="AI183" s="36"/>
      <c r="AK183" s="36"/>
      <c r="AL183" s="36"/>
    </row>
    <row r="184" customFormat="false" ht="15" hidden="false" customHeight="false" outlineLevel="0" collapsed="false">
      <c r="AG184" s="36"/>
      <c r="AH184" s="36"/>
      <c r="AI184" s="36"/>
      <c r="AK184" s="36"/>
      <c r="AL184" s="36"/>
    </row>
    <row r="185" customFormat="false" ht="15" hidden="false" customHeight="false" outlineLevel="0" collapsed="false">
      <c r="AG185" s="36"/>
      <c r="AH185" s="36"/>
      <c r="AI185" s="36"/>
      <c r="AK185" s="36"/>
      <c r="AL185" s="36"/>
    </row>
    <row r="186" customFormat="false" ht="15" hidden="false" customHeight="false" outlineLevel="0" collapsed="false">
      <c r="AG186" s="36"/>
      <c r="AH186" s="36"/>
      <c r="AI186" s="36"/>
      <c r="AK186" s="36"/>
      <c r="AL186" s="36"/>
    </row>
    <row r="187" customFormat="false" ht="15" hidden="false" customHeight="false" outlineLevel="0" collapsed="false">
      <c r="AG187" s="36"/>
      <c r="AH187" s="36"/>
      <c r="AI187" s="36"/>
      <c r="AK187" s="36"/>
      <c r="AL187" s="36"/>
    </row>
    <row r="188" customFormat="false" ht="15" hidden="false" customHeight="false" outlineLevel="0" collapsed="false">
      <c r="AG188" s="36"/>
      <c r="AH188" s="36"/>
      <c r="AI188" s="36"/>
      <c r="AK188" s="36"/>
      <c r="AL188" s="36"/>
    </row>
    <row r="189" customFormat="false" ht="15" hidden="false" customHeight="false" outlineLevel="0" collapsed="false">
      <c r="AG189" s="36"/>
      <c r="AH189" s="36"/>
      <c r="AI189" s="36"/>
      <c r="AK189" s="36"/>
      <c r="AL189" s="36"/>
    </row>
    <row r="190" customFormat="false" ht="15" hidden="false" customHeight="false" outlineLevel="0" collapsed="false">
      <c r="AG190" s="36"/>
      <c r="AH190" s="36"/>
      <c r="AI190" s="36"/>
      <c r="AK190" s="36"/>
      <c r="AL190" s="36"/>
    </row>
    <row r="191" customFormat="false" ht="15" hidden="false" customHeight="false" outlineLevel="0" collapsed="false">
      <c r="AG191" s="36"/>
      <c r="AH191" s="36"/>
      <c r="AI191" s="36"/>
      <c r="AK191" s="36"/>
      <c r="AL191" s="36"/>
    </row>
    <row r="192" customFormat="false" ht="15" hidden="false" customHeight="false" outlineLevel="0" collapsed="false">
      <c r="AG192" s="36"/>
      <c r="AH192" s="36"/>
      <c r="AI192" s="36"/>
      <c r="AK192" s="36"/>
      <c r="AL192" s="36"/>
    </row>
    <row r="193" customFormat="false" ht="15" hidden="false" customHeight="false" outlineLevel="0" collapsed="false">
      <c r="AG193" s="36"/>
      <c r="AH193" s="36"/>
      <c r="AI193" s="36"/>
      <c r="AK193" s="36"/>
      <c r="AL193" s="36"/>
    </row>
    <row r="194" customFormat="false" ht="15" hidden="false" customHeight="false" outlineLevel="0" collapsed="false">
      <c r="AG194" s="36"/>
      <c r="AH194" s="36"/>
      <c r="AI194" s="36"/>
      <c r="AK194" s="36"/>
      <c r="AL194" s="36"/>
    </row>
    <row r="195" customFormat="false" ht="15" hidden="false" customHeight="false" outlineLevel="0" collapsed="false">
      <c r="AG195" s="36"/>
      <c r="AH195" s="36"/>
      <c r="AI195" s="36"/>
      <c r="AK195" s="36"/>
      <c r="AL195" s="36"/>
    </row>
    <row r="196" customFormat="false" ht="15" hidden="false" customHeight="false" outlineLevel="0" collapsed="false">
      <c r="AG196" s="36"/>
      <c r="AH196" s="36"/>
      <c r="AI196" s="36"/>
      <c r="AK196" s="36"/>
      <c r="AL196" s="36"/>
    </row>
    <row r="197" customFormat="false" ht="15" hidden="false" customHeight="false" outlineLevel="0" collapsed="false">
      <c r="AG197" s="36"/>
      <c r="AH197" s="36"/>
      <c r="AI197" s="36"/>
      <c r="AK197" s="36"/>
      <c r="AL197" s="36"/>
    </row>
    <row r="198" customFormat="false" ht="15" hidden="false" customHeight="false" outlineLevel="0" collapsed="false">
      <c r="AG198" s="36"/>
      <c r="AH198" s="36"/>
      <c r="AI198" s="36"/>
      <c r="AK198" s="36"/>
      <c r="AL198" s="36"/>
    </row>
    <row r="199" customFormat="false" ht="15" hidden="false" customHeight="false" outlineLevel="0" collapsed="false">
      <c r="AG199" s="36"/>
      <c r="AH199" s="36"/>
      <c r="AI199" s="36"/>
      <c r="AK199" s="36"/>
      <c r="AL199" s="36"/>
    </row>
    <row r="200" customFormat="false" ht="15" hidden="false" customHeight="false" outlineLevel="0" collapsed="false">
      <c r="AG200" s="36"/>
      <c r="AH200" s="36"/>
      <c r="AI200" s="36"/>
      <c r="AK200" s="36"/>
      <c r="AL200" s="36"/>
    </row>
    <row r="201" customFormat="false" ht="15" hidden="false" customHeight="false" outlineLevel="0" collapsed="false">
      <c r="AG201" s="36"/>
      <c r="AH201" s="36"/>
      <c r="AI201" s="36"/>
      <c r="AK201" s="36"/>
      <c r="AL201" s="36"/>
    </row>
    <row r="202" customFormat="false" ht="15" hidden="false" customHeight="false" outlineLevel="0" collapsed="false">
      <c r="AG202" s="36"/>
      <c r="AH202" s="36"/>
      <c r="AI202" s="36"/>
      <c r="AK202" s="36"/>
      <c r="AL202" s="36"/>
    </row>
    <row r="203" customFormat="false" ht="15" hidden="false" customHeight="false" outlineLevel="0" collapsed="false">
      <c r="AG203" s="36"/>
      <c r="AH203" s="36"/>
      <c r="AI203" s="36"/>
      <c r="AK203" s="36"/>
      <c r="AL203" s="36"/>
    </row>
    <row r="204" customFormat="false" ht="15" hidden="false" customHeight="false" outlineLevel="0" collapsed="false">
      <c r="AG204" s="36"/>
      <c r="AH204" s="36"/>
      <c r="AI204" s="36"/>
      <c r="AK204" s="36"/>
      <c r="AL204" s="36"/>
    </row>
    <row r="205" customFormat="false" ht="15" hidden="false" customHeight="false" outlineLevel="0" collapsed="false">
      <c r="AG205" s="36"/>
      <c r="AH205" s="36"/>
      <c r="AI205" s="36"/>
      <c r="AK205" s="36"/>
      <c r="AL205" s="36"/>
    </row>
    <row r="206" customFormat="false" ht="15" hidden="false" customHeight="false" outlineLevel="0" collapsed="false">
      <c r="AG206" s="36"/>
      <c r="AH206" s="36"/>
      <c r="AI206" s="36"/>
      <c r="AK206" s="36"/>
      <c r="AL206" s="36"/>
    </row>
    <row r="207" customFormat="false" ht="15" hidden="false" customHeight="false" outlineLevel="0" collapsed="false">
      <c r="AG207" s="36"/>
      <c r="AH207" s="36"/>
      <c r="AI207" s="36"/>
      <c r="AK207" s="36"/>
      <c r="AL207" s="36"/>
    </row>
    <row r="208" customFormat="false" ht="15" hidden="false" customHeight="false" outlineLevel="0" collapsed="false">
      <c r="AG208" s="36"/>
      <c r="AH208" s="36"/>
      <c r="AI208" s="36"/>
      <c r="AK208" s="36"/>
      <c r="AL208" s="36"/>
    </row>
    <row r="209" customFormat="false" ht="15" hidden="false" customHeight="false" outlineLevel="0" collapsed="false">
      <c r="AG209" s="36"/>
      <c r="AH209" s="36"/>
      <c r="AI209" s="36"/>
      <c r="AK209" s="36"/>
      <c r="AL209" s="36"/>
    </row>
    <row r="210" customFormat="false" ht="15" hidden="false" customHeight="false" outlineLevel="0" collapsed="false">
      <c r="AG210" s="36"/>
      <c r="AH210" s="36"/>
      <c r="AI210" s="36"/>
      <c r="AK210" s="36"/>
      <c r="AL210" s="36"/>
    </row>
    <row r="211" customFormat="false" ht="15" hidden="false" customHeight="false" outlineLevel="0" collapsed="false">
      <c r="AG211" s="36"/>
      <c r="AH211" s="36"/>
      <c r="AI211" s="36"/>
      <c r="AK211" s="36"/>
      <c r="AL211" s="36"/>
    </row>
    <row r="212" customFormat="false" ht="15" hidden="false" customHeight="false" outlineLevel="0" collapsed="false">
      <c r="AG212" s="36"/>
      <c r="AH212" s="36"/>
      <c r="AI212" s="36"/>
      <c r="AK212" s="36"/>
      <c r="AL212" s="36"/>
    </row>
    <row r="213" customFormat="false" ht="15" hidden="false" customHeight="false" outlineLevel="0" collapsed="false">
      <c r="AG213" s="36"/>
      <c r="AH213" s="36"/>
      <c r="AI213" s="36"/>
      <c r="AK213" s="36"/>
      <c r="AL213" s="36"/>
    </row>
    <row r="214" customFormat="false" ht="15" hidden="false" customHeight="false" outlineLevel="0" collapsed="false">
      <c r="AG214" s="36"/>
      <c r="AH214" s="36"/>
      <c r="AI214" s="36"/>
      <c r="AK214" s="36"/>
      <c r="AL214" s="36"/>
    </row>
    <row r="215" customFormat="false" ht="15" hidden="false" customHeight="false" outlineLevel="0" collapsed="false">
      <c r="AG215" s="36"/>
      <c r="AH215" s="36"/>
      <c r="AI215" s="36"/>
      <c r="AK215" s="36"/>
      <c r="AL215" s="36"/>
    </row>
    <row r="216" customFormat="false" ht="15" hidden="false" customHeight="false" outlineLevel="0" collapsed="false">
      <c r="AG216" s="36"/>
      <c r="AH216" s="36"/>
      <c r="AI216" s="36"/>
      <c r="AK216" s="36"/>
      <c r="AL216" s="36"/>
    </row>
    <row r="217" customFormat="false" ht="15" hidden="false" customHeight="false" outlineLevel="0" collapsed="false">
      <c r="AG217" s="36"/>
      <c r="AH217" s="36"/>
      <c r="AI217" s="36"/>
      <c r="AK217" s="36"/>
      <c r="AL217" s="36"/>
    </row>
    <row r="218" customFormat="false" ht="15" hidden="false" customHeight="false" outlineLevel="0" collapsed="false">
      <c r="AG218" s="36"/>
      <c r="AH218" s="36"/>
      <c r="AI218" s="36"/>
      <c r="AK218" s="36"/>
      <c r="AL218" s="36"/>
    </row>
    <row r="219" customFormat="false" ht="15" hidden="false" customHeight="false" outlineLevel="0" collapsed="false">
      <c r="AG219" s="36"/>
      <c r="AH219" s="36"/>
      <c r="AI219" s="36"/>
      <c r="AK219" s="36"/>
      <c r="AL219" s="36"/>
    </row>
    <row r="220" customFormat="false" ht="15" hidden="false" customHeight="false" outlineLevel="0" collapsed="false">
      <c r="AG220" s="36"/>
      <c r="AH220" s="36"/>
      <c r="AI220" s="36"/>
      <c r="AK220" s="36"/>
      <c r="AL220" s="36"/>
    </row>
    <row r="221" customFormat="false" ht="15" hidden="false" customHeight="false" outlineLevel="0" collapsed="false">
      <c r="AG221" s="36"/>
      <c r="AH221" s="36"/>
      <c r="AI221" s="36"/>
      <c r="AK221" s="36"/>
      <c r="AL221" s="36"/>
    </row>
    <row r="222" customFormat="false" ht="15" hidden="false" customHeight="false" outlineLevel="0" collapsed="false">
      <c r="AG222" s="36"/>
      <c r="AH222" s="36"/>
      <c r="AI222" s="36"/>
      <c r="AK222" s="36"/>
      <c r="AL222" s="36"/>
    </row>
    <row r="223" customFormat="false" ht="15" hidden="false" customHeight="false" outlineLevel="0" collapsed="false">
      <c r="AG223" s="36"/>
      <c r="AH223" s="36"/>
      <c r="AI223" s="36"/>
      <c r="AK223" s="36"/>
      <c r="AL223" s="36"/>
    </row>
    <row r="224" customFormat="false" ht="15" hidden="false" customHeight="false" outlineLevel="0" collapsed="false">
      <c r="AG224" s="36"/>
      <c r="AH224" s="36"/>
      <c r="AI224" s="36"/>
      <c r="AK224" s="36"/>
      <c r="AL224" s="36"/>
    </row>
    <row r="225" customFormat="false" ht="15" hidden="false" customHeight="false" outlineLevel="0" collapsed="false">
      <c r="AG225" s="36"/>
      <c r="AH225" s="36"/>
      <c r="AI225" s="36"/>
      <c r="AK225" s="36"/>
      <c r="AL225" s="36"/>
    </row>
    <row r="226" customFormat="false" ht="15" hidden="false" customHeight="false" outlineLevel="0" collapsed="false">
      <c r="AG226" s="36"/>
      <c r="AH226" s="36"/>
      <c r="AI226" s="36"/>
      <c r="AK226" s="36"/>
      <c r="AL226" s="36"/>
    </row>
    <row r="227" customFormat="false" ht="15" hidden="false" customHeight="false" outlineLevel="0" collapsed="false">
      <c r="AG227" s="36"/>
      <c r="AH227" s="36"/>
      <c r="AI227" s="36"/>
      <c r="AK227" s="36"/>
      <c r="AL227" s="36"/>
    </row>
    <row r="228" customFormat="false" ht="15" hidden="false" customHeight="false" outlineLevel="0" collapsed="false">
      <c r="AG228" s="36"/>
      <c r="AH228" s="36"/>
      <c r="AI228" s="36"/>
      <c r="AK228" s="36"/>
      <c r="AL228" s="36"/>
    </row>
    <row r="229" customFormat="false" ht="15" hidden="false" customHeight="false" outlineLevel="0" collapsed="false">
      <c r="AG229" s="36"/>
      <c r="AH229" s="36"/>
      <c r="AI229" s="36"/>
      <c r="AK229" s="36"/>
      <c r="AL229" s="36"/>
    </row>
    <row r="230" customFormat="false" ht="15" hidden="false" customHeight="false" outlineLevel="0" collapsed="false">
      <c r="AG230" s="36"/>
      <c r="AH230" s="36"/>
      <c r="AI230" s="36"/>
      <c r="AK230" s="36"/>
      <c r="AL230" s="36"/>
    </row>
    <row r="231" customFormat="false" ht="15" hidden="false" customHeight="false" outlineLevel="0" collapsed="false">
      <c r="AG231" s="36"/>
      <c r="AH231" s="36"/>
      <c r="AI231" s="36"/>
      <c r="AK231" s="36"/>
      <c r="AL231" s="36"/>
    </row>
    <row r="232" customFormat="false" ht="15" hidden="false" customHeight="false" outlineLevel="0" collapsed="false">
      <c r="AG232" s="36"/>
      <c r="AH232" s="36"/>
      <c r="AI232" s="36"/>
      <c r="AK232" s="36"/>
      <c r="AL232" s="36"/>
    </row>
    <row r="233" customFormat="false" ht="15" hidden="false" customHeight="false" outlineLevel="0" collapsed="false">
      <c r="AG233" s="36"/>
      <c r="AH233" s="36"/>
      <c r="AI233" s="36"/>
      <c r="AK233" s="36"/>
      <c r="AL233" s="36"/>
    </row>
    <row r="234" customFormat="false" ht="15" hidden="false" customHeight="false" outlineLevel="0" collapsed="false">
      <c r="AG234" s="36"/>
      <c r="AH234" s="36"/>
      <c r="AI234" s="36"/>
      <c r="AK234" s="36"/>
      <c r="AL234" s="36"/>
    </row>
    <row r="235" customFormat="false" ht="15" hidden="false" customHeight="false" outlineLevel="0" collapsed="false">
      <c r="AG235" s="36"/>
      <c r="AH235" s="36"/>
      <c r="AI235" s="36"/>
      <c r="AK235" s="36"/>
      <c r="AL235" s="36"/>
    </row>
    <row r="236" customFormat="false" ht="15" hidden="false" customHeight="false" outlineLevel="0" collapsed="false">
      <c r="AG236" s="36"/>
      <c r="AH236" s="36"/>
      <c r="AI236" s="36"/>
      <c r="AK236" s="36"/>
      <c r="AL236" s="36"/>
    </row>
    <row r="237" customFormat="false" ht="15" hidden="false" customHeight="false" outlineLevel="0" collapsed="false">
      <c r="AG237" s="36"/>
      <c r="AH237" s="36"/>
      <c r="AI237" s="36"/>
      <c r="AK237" s="36"/>
      <c r="AL237" s="36"/>
    </row>
    <row r="238" customFormat="false" ht="15" hidden="false" customHeight="false" outlineLevel="0" collapsed="false">
      <c r="AG238" s="36"/>
      <c r="AH238" s="36"/>
      <c r="AI238" s="36"/>
      <c r="AK238" s="36"/>
      <c r="AL238" s="36"/>
    </row>
    <row r="239" customFormat="false" ht="15" hidden="false" customHeight="false" outlineLevel="0" collapsed="false">
      <c r="AG239" s="36"/>
      <c r="AH239" s="36"/>
      <c r="AI239" s="36"/>
      <c r="AK239" s="36"/>
      <c r="AL239" s="36"/>
    </row>
    <row r="240" customFormat="false" ht="15" hidden="false" customHeight="false" outlineLevel="0" collapsed="false">
      <c r="AG240" s="36"/>
      <c r="AH240" s="36"/>
      <c r="AI240" s="36"/>
      <c r="AK240" s="36"/>
      <c r="AL240" s="36"/>
    </row>
    <row r="241" customFormat="false" ht="15" hidden="false" customHeight="false" outlineLevel="0" collapsed="false">
      <c r="AG241" s="36"/>
      <c r="AH241" s="36"/>
      <c r="AI241" s="36"/>
      <c r="AK241" s="36"/>
      <c r="AL241" s="36"/>
    </row>
    <row r="242" customFormat="false" ht="15" hidden="false" customHeight="false" outlineLevel="0" collapsed="false">
      <c r="AG242" s="36"/>
      <c r="AH242" s="36"/>
      <c r="AI242" s="36"/>
      <c r="AK242" s="36"/>
      <c r="AL242" s="36"/>
    </row>
    <row r="243" customFormat="false" ht="15" hidden="false" customHeight="false" outlineLevel="0" collapsed="false">
      <c r="AG243" s="36"/>
      <c r="AH243" s="36"/>
      <c r="AI243" s="36"/>
      <c r="AK243" s="36"/>
      <c r="AL243" s="36"/>
    </row>
    <row r="244" customFormat="false" ht="15" hidden="false" customHeight="false" outlineLevel="0" collapsed="false">
      <c r="AG244" s="36"/>
      <c r="AH244" s="36"/>
      <c r="AI244" s="36"/>
      <c r="AK244" s="36"/>
      <c r="AL244" s="36"/>
    </row>
    <row r="245" customFormat="false" ht="15" hidden="false" customHeight="false" outlineLevel="0" collapsed="false">
      <c r="AG245" s="36"/>
      <c r="AH245" s="36"/>
      <c r="AI245" s="36"/>
      <c r="AK245" s="36"/>
      <c r="AL245" s="36"/>
    </row>
    <row r="246" customFormat="false" ht="15" hidden="false" customHeight="false" outlineLevel="0" collapsed="false">
      <c r="AG246" s="36"/>
      <c r="AH246" s="36"/>
      <c r="AI246" s="36"/>
      <c r="AK246" s="36"/>
      <c r="AL246" s="36"/>
    </row>
    <row r="247" customFormat="false" ht="15" hidden="false" customHeight="false" outlineLevel="0" collapsed="false">
      <c r="AG247" s="36"/>
      <c r="AH247" s="36"/>
      <c r="AI247" s="36"/>
      <c r="AK247" s="36"/>
      <c r="AL247" s="36"/>
    </row>
    <row r="248" customFormat="false" ht="15" hidden="false" customHeight="false" outlineLevel="0" collapsed="false">
      <c r="AG248" s="36"/>
      <c r="AH248" s="36"/>
      <c r="AI248" s="36"/>
      <c r="AK248" s="36"/>
      <c r="AL248" s="36"/>
    </row>
    <row r="249" customFormat="false" ht="15" hidden="false" customHeight="false" outlineLevel="0" collapsed="false">
      <c r="AG249" s="36"/>
      <c r="AH249" s="36"/>
      <c r="AI249" s="36"/>
      <c r="AK249" s="36"/>
      <c r="AL249" s="36"/>
    </row>
    <row r="250" customFormat="false" ht="15" hidden="false" customHeight="false" outlineLevel="0" collapsed="false">
      <c r="AG250" s="36"/>
      <c r="AH250" s="36"/>
      <c r="AI250" s="36"/>
      <c r="AK250" s="36"/>
      <c r="AL250" s="36"/>
    </row>
    <row r="251" customFormat="false" ht="15" hidden="false" customHeight="false" outlineLevel="0" collapsed="false">
      <c r="AG251" s="36"/>
      <c r="AH251" s="36"/>
      <c r="AI251" s="36"/>
      <c r="AK251" s="36"/>
      <c r="AL251" s="36"/>
    </row>
    <row r="252" customFormat="false" ht="15" hidden="false" customHeight="false" outlineLevel="0" collapsed="false">
      <c r="AG252" s="36"/>
      <c r="AH252" s="36"/>
      <c r="AI252" s="36"/>
      <c r="AK252" s="36"/>
      <c r="AL252" s="36"/>
    </row>
    <row r="253" customFormat="false" ht="15" hidden="false" customHeight="false" outlineLevel="0" collapsed="false">
      <c r="AG253" s="36"/>
      <c r="AH253" s="36"/>
      <c r="AI253" s="36"/>
      <c r="AK253" s="36"/>
      <c r="AL253" s="36"/>
    </row>
    <row r="254" customFormat="false" ht="15" hidden="false" customHeight="false" outlineLevel="0" collapsed="false">
      <c r="AG254" s="36"/>
      <c r="AH254" s="36"/>
      <c r="AI254" s="36"/>
      <c r="AK254" s="36"/>
      <c r="AL254" s="36"/>
    </row>
    <row r="255" customFormat="false" ht="15" hidden="false" customHeight="false" outlineLevel="0" collapsed="false">
      <c r="AG255" s="36"/>
      <c r="AH255" s="36"/>
      <c r="AI255" s="36"/>
      <c r="AK255" s="36"/>
      <c r="AL255" s="36"/>
    </row>
    <row r="256" customFormat="false" ht="15" hidden="false" customHeight="false" outlineLevel="0" collapsed="false">
      <c r="AG256" s="36"/>
      <c r="AH256" s="36"/>
      <c r="AI256" s="36"/>
      <c r="AK256" s="36"/>
      <c r="AL256" s="36"/>
    </row>
    <row r="257" customFormat="false" ht="15" hidden="false" customHeight="false" outlineLevel="0" collapsed="false">
      <c r="AG257" s="36"/>
      <c r="AH257" s="36"/>
      <c r="AI257" s="36"/>
      <c r="AK257" s="36"/>
      <c r="AL257" s="36"/>
    </row>
    <row r="258" customFormat="false" ht="15" hidden="false" customHeight="false" outlineLevel="0" collapsed="false">
      <c r="AG258" s="36"/>
      <c r="AH258" s="36"/>
      <c r="AI258" s="36"/>
      <c r="AK258" s="36"/>
      <c r="AL258" s="36"/>
    </row>
    <row r="259" customFormat="false" ht="15" hidden="false" customHeight="false" outlineLevel="0" collapsed="false">
      <c r="AG259" s="36"/>
      <c r="AH259" s="36"/>
      <c r="AI259" s="36"/>
      <c r="AK259" s="36"/>
      <c r="AL259" s="36"/>
    </row>
    <row r="260" customFormat="false" ht="15" hidden="false" customHeight="false" outlineLevel="0" collapsed="false">
      <c r="AG260" s="36"/>
      <c r="AH260" s="36"/>
      <c r="AI260" s="36"/>
      <c r="AK260" s="36"/>
      <c r="AL260" s="36"/>
    </row>
    <row r="261" customFormat="false" ht="15" hidden="false" customHeight="false" outlineLevel="0" collapsed="false">
      <c r="AG261" s="36"/>
      <c r="AH261" s="36"/>
      <c r="AI261" s="36"/>
      <c r="AK261" s="36"/>
      <c r="AL261" s="36"/>
    </row>
    <row r="262" customFormat="false" ht="15" hidden="false" customHeight="false" outlineLevel="0" collapsed="false">
      <c r="AG262" s="36"/>
      <c r="AH262" s="36"/>
      <c r="AI262" s="36"/>
      <c r="AK262" s="36"/>
      <c r="AL262" s="36"/>
    </row>
    <row r="263" customFormat="false" ht="15" hidden="false" customHeight="false" outlineLevel="0" collapsed="false">
      <c r="AG263" s="36"/>
      <c r="AH263" s="36"/>
      <c r="AI263" s="36"/>
      <c r="AK263" s="36"/>
      <c r="AL263" s="36"/>
    </row>
    <row r="264" customFormat="false" ht="15" hidden="false" customHeight="false" outlineLevel="0" collapsed="false">
      <c r="AG264" s="36"/>
      <c r="AH264" s="36"/>
      <c r="AI264" s="36"/>
      <c r="AK264" s="36"/>
      <c r="AL264" s="36"/>
    </row>
    <row r="265" customFormat="false" ht="15" hidden="false" customHeight="false" outlineLevel="0" collapsed="false">
      <c r="AG265" s="36"/>
      <c r="AH265" s="36"/>
      <c r="AI265" s="36"/>
      <c r="AK265" s="36"/>
      <c r="AL265" s="36"/>
    </row>
    <row r="266" customFormat="false" ht="15" hidden="false" customHeight="false" outlineLevel="0" collapsed="false">
      <c r="AG266" s="36"/>
      <c r="AH266" s="36"/>
      <c r="AI266" s="36"/>
      <c r="AK266" s="36"/>
      <c r="AL266" s="36"/>
    </row>
    <row r="267" customFormat="false" ht="15" hidden="false" customHeight="false" outlineLevel="0" collapsed="false">
      <c r="AG267" s="36"/>
      <c r="AH267" s="36"/>
      <c r="AI267" s="36"/>
      <c r="AK267" s="36"/>
      <c r="AL267" s="36"/>
    </row>
    <row r="268" customFormat="false" ht="15" hidden="false" customHeight="false" outlineLevel="0" collapsed="false">
      <c r="AG268" s="36"/>
      <c r="AH268" s="36"/>
      <c r="AI268" s="36"/>
      <c r="AK268" s="36"/>
      <c r="AL268" s="36"/>
    </row>
    <row r="269" customFormat="false" ht="15" hidden="false" customHeight="false" outlineLevel="0" collapsed="false">
      <c r="AG269" s="36"/>
      <c r="AH269" s="36"/>
      <c r="AI269" s="36"/>
      <c r="AK269" s="36"/>
      <c r="AL269" s="36"/>
    </row>
    <row r="270" customFormat="false" ht="15" hidden="false" customHeight="false" outlineLevel="0" collapsed="false">
      <c r="AG270" s="36"/>
      <c r="AH270" s="36"/>
      <c r="AI270" s="36"/>
      <c r="AK270" s="36"/>
      <c r="AL270" s="36"/>
    </row>
    <row r="271" customFormat="false" ht="15" hidden="false" customHeight="false" outlineLevel="0" collapsed="false">
      <c r="AG271" s="36"/>
      <c r="AH271" s="36"/>
      <c r="AI271" s="36"/>
      <c r="AK271" s="36"/>
      <c r="AL271" s="36"/>
    </row>
    <row r="272" customFormat="false" ht="15" hidden="false" customHeight="false" outlineLevel="0" collapsed="false">
      <c r="AG272" s="36"/>
      <c r="AH272" s="36"/>
      <c r="AI272" s="36"/>
      <c r="AK272" s="36"/>
      <c r="AL272" s="36"/>
    </row>
    <row r="273" customFormat="false" ht="15" hidden="false" customHeight="false" outlineLevel="0" collapsed="false">
      <c r="AG273" s="36"/>
      <c r="AH273" s="36"/>
      <c r="AI273" s="36"/>
      <c r="AK273" s="36"/>
      <c r="AL273" s="36"/>
    </row>
    <row r="274" customFormat="false" ht="15" hidden="false" customHeight="false" outlineLevel="0" collapsed="false">
      <c r="AG274" s="36"/>
      <c r="AH274" s="36"/>
      <c r="AI274" s="36"/>
      <c r="AK274" s="36"/>
      <c r="AL274" s="36"/>
    </row>
    <row r="275" customFormat="false" ht="15" hidden="false" customHeight="false" outlineLevel="0" collapsed="false">
      <c r="AG275" s="36"/>
      <c r="AH275" s="36"/>
      <c r="AI275" s="36"/>
      <c r="AK275" s="36"/>
      <c r="AL275" s="36"/>
    </row>
    <row r="276" customFormat="false" ht="15" hidden="false" customHeight="false" outlineLevel="0" collapsed="false">
      <c r="AG276" s="36"/>
      <c r="AH276" s="36"/>
      <c r="AI276" s="36"/>
      <c r="AK276" s="36"/>
      <c r="AL276" s="36"/>
    </row>
    <row r="277" customFormat="false" ht="15" hidden="false" customHeight="false" outlineLevel="0" collapsed="false">
      <c r="AG277" s="36"/>
      <c r="AH277" s="36"/>
      <c r="AI277" s="36"/>
      <c r="AK277" s="36"/>
      <c r="AL277" s="36"/>
    </row>
    <row r="278" customFormat="false" ht="15" hidden="false" customHeight="false" outlineLevel="0" collapsed="false">
      <c r="AG278" s="36"/>
      <c r="AH278" s="36"/>
      <c r="AI278" s="36"/>
      <c r="AK278" s="36"/>
      <c r="AL278" s="36"/>
    </row>
    <row r="279" customFormat="false" ht="15" hidden="false" customHeight="false" outlineLevel="0" collapsed="false">
      <c r="AG279" s="36"/>
      <c r="AH279" s="36"/>
      <c r="AI279" s="36"/>
      <c r="AK279" s="36"/>
      <c r="AL279" s="36"/>
    </row>
    <row r="280" customFormat="false" ht="15" hidden="false" customHeight="false" outlineLevel="0" collapsed="false">
      <c r="AG280" s="36"/>
      <c r="AH280" s="36"/>
      <c r="AI280" s="36"/>
      <c r="AK280" s="36"/>
      <c r="AL280" s="36"/>
    </row>
    <row r="281" customFormat="false" ht="15" hidden="false" customHeight="false" outlineLevel="0" collapsed="false">
      <c r="AG281" s="36"/>
      <c r="AH281" s="36"/>
      <c r="AI281" s="36"/>
      <c r="AK281" s="36"/>
      <c r="AL281" s="36"/>
    </row>
    <row r="282" customFormat="false" ht="15" hidden="false" customHeight="false" outlineLevel="0" collapsed="false">
      <c r="AG282" s="36"/>
      <c r="AH282" s="36"/>
      <c r="AI282" s="36"/>
      <c r="AK282" s="36"/>
      <c r="AL282" s="36"/>
    </row>
    <row r="283" customFormat="false" ht="15" hidden="false" customHeight="false" outlineLevel="0" collapsed="false">
      <c r="AG283" s="36"/>
      <c r="AH283" s="36"/>
      <c r="AI283" s="36"/>
      <c r="AK283" s="36"/>
      <c r="AL283" s="36"/>
    </row>
    <row r="284" customFormat="false" ht="15" hidden="false" customHeight="false" outlineLevel="0" collapsed="false">
      <c r="AG284" s="36"/>
      <c r="AH284" s="36"/>
      <c r="AI284" s="36"/>
      <c r="AK284" s="36"/>
      <c r="AL284" s="36"/>
    </row>
    <row r="285" customFormat="false" ht="15" hidden="false" customHeight="false" outlineLevel="0" collapsed="false">
      <c r="AG285" s="36"/>
      <c r="AH285" s="36"/>
      <c r="AI285" s="36"/>
      <c r="AK285" s="36"/>
      <c r="AL285" s="36"/>
    </row>
    <row r="286" customFormat="false" ht="15" hidden="false" customHeight="false" outlineLevel="0" collapsed="false">
      <c r="AG286" s="36"/>
      <c r="AH286" s="36"/>
      <c r="AI286" s="36"/>
      <c r="AK286" s="36"/>
      <c r="AL286" s="36"/>
    </row>
    <row r="287" customFormat="false" ht="15" hidden="false" customHeight="false" outlineLevel="0" collapsed="false">
      <c r="AG287" s="36"/>
      <c r="AH287" s="36"/>
      <c r="AI287" s="36"/>
      <c r="AK287" s="36"/>
      <c r="AL287" s="36"/>
    </row>
    <row r="288" customFormat="false" ht="15" hidden="false" customHeight="false" outlineLevel="0" collapsed="false">
      <c r="AG288" s="36"/>
      <c r="AH288" s="36"/>
      <c r="AI288" s="36"/>
      <c r="AK288" s="36"/>
      <c r="AL288" s="36"/>
    </row>
    <row r="289" customFormat="false" ht="15" hidden="false" customHeight="false" outlineLevel="0" collapsed="false">
      <c r="AG289" s="36"/>
      <c r="AH289" s="36"/>
      <c r="AI289" s="36"/>
      <c r="AK289" s="36"/>
      <c r="AL289" s="36"/>
    </row>
    <row r="290" customFormat="false" ht="15" hidden="false" customHeight="false" outlineLevel="0" collapsed="false">
      <c r="AG290" s="36"/>
      <c r="AH290" s="36"/>
      <c r="AI290" s="36"/>
      <c r="AK290" s="36"/>
      <c r="AL290" s="36"/>
    </row>
    <row r="291" customFormat="false" ht="15" hidden="false" customHeight="false" outlineLevel="0" collapsed="false">
      <c r="AG291" s="36"/>
      <c r="AH291" s="36"/>
      <c r="AI291" s="36"/>
      <c r="AK291" s="36"/>
      <c r="AL291" s="36"/>
    </row>
    <row r="292" customFormat="false" ht="15" hidden="false" customHeight="false" outlineLevel="0" collapsed="false">
      <c r="AG292" s="36"/>
      <c r="AH292" s="36"/>
      <c r="AI292" s="36"/>
      <c r="AK292" s="36"/>
      <c r="AL292" s="36"/>
    </row>
    <row r="293" customFormat="false" ht="15" hidden="false" customHeight="false" outlineLevel="0" collapsed="false">
      <c r="AG293" s="36"/>
      <c r="AH293" s="36"/>
      <c r="AI293" s="36"/>
      <c r="AK293" s="36"/>
      <c r="AL293" s="36"/>
    </row>
    <row r="294" customFormat="false" ht="15" hidden="false" customHeight="false" outlineLevel="0" collapsed="false">
      <c r="AG294" s="36"/>
      <c r="AH294" s="36"/>
      <c r="AI294" s="36"/>
      <c r="AK294" s="36"/>
      <c r="AL294" s="36"/>
    </row>
    <row r="295" customFormat="false" ht="15" hidden="false" customHeight="false" outlineLevel="0" collapsed="false">
      <c r="AG295" s="36"/>
      <c r="AH295" s="36"/>
      <c r="AI295" s="36"/>
      <c r="AK295" s="36"/>
      <c r="AL295" s="36"/>
    </row>
    <row r="296" customFormat="false" ht="15" hidden="false" customHeight="false" outlineLevel="0" collapsed="false">
      <c r="AG296" s="36"/>
      <c r="AH296" s="36"/>
      <c r="AI296" s="36"/>
      <c r="AK296" s="36"/>
      <c r="AL296" s="36"/>
    </row>
    <row r="297" customFormat="false" ht="15" hidden="false" customHeight="false" outlineLevel="0" collapsed="false">
      <c r="AG297" s="36"/>
      <c r="AH297" s="36"/>
      <c r="AI297" s="36"/>
      <c r="AK297" s="36"/>
      <c r="AL297" s="36"/>
    </row>
    <row r="298" customFormat="false" ht="15" hidden="false" customHeight="false" outlineLevel="0" collapsed="false">
      <c r="AG298" s="36"/>
      <c r="AH298" s="36"/>
      <c r="AI298" s="36"/>
      <c r="AK298" s="36"/>
      <c r="AL298" s="36"/>
    </row>
    <row r="299" customFormat="false" ht="15" hidden="false" customHeight="false" outlineLevel="0" collapsed="false">
      <c r="AG299" s="36"/>
      <c r="AH299" s="36"/>
      <c r="AI299" s="36"/>
      <c r="AK299" s="36"/>
      <c r="AL299" s="36"/>
    </row>
    <row r="300" customFormat="false" ht="15" hidden="false" customHeight="false" outlineLevel="0" collapsed="false">
      <c r="AG300" s="36"/>
      <c r="AH300" s="36"/>
      <c r="AI300" s="36"/>
      <c r="AK300" s="36"/>
      <c r="AL300" s="36"/>
    </row>
    <row r="301" customFormat="false" ht="15" hidden="false" customHeight="false" outlineLevel="0" collapsed="false">
      <c r="AG301" s="36"/>
      <c r="AH301" s="36"/>
      <c r="AI301" s="36"/>
      <c r="AK301" s="36"/>
      <c r="AL301" s="36"/>
    </row>
    <row r="302" customFormat="false" ht="15" hidden="false" customHeight="false" outlineLevel="0" collapsed="false">
      <c r="AG302" s="36"/>
      <c r="AH302" s="36"/>
      <c r="AI302" s="36"/>
      <c r="AK302" s="36"/>
      <c r="AL302" s="36"/>
    </row>
    <row r="303" customFormat="false" ht="15" hidden="false" customHeight="false" outlineLevel="0" collapsed="false">
      <c r="AG303" s="36"/>
      <c r="AH303" s="36"/>
      <c r="AI303" s="36"/>
      <c r="AK303" s="36"/>
      <c r="AL303" s="36"/>
    </row>
    <row r="304" customFormat="false" ht="15" hidden="false" customHeight="false" outlineLevel="0" collapsed="false">
      <c r="AG304" s="36"/>
      <c r="AH304" s="36"/>
      <c r="AI304" s="36"/>
      <c r="AK304" s="36"/>
      <c r="AL304" s="36"/>
    </row>
    <row r="305" customFormat="false" ht="15" hidden="false" customHeight="false" outlineLevel="0" collapsed="false">
      <c r="AG305" s="36"/>
      <c r="AH305" s="36"/>
      <c r="AI305" s="36"/>
      <c r="AK305" s="36"/>
      <c r="AL305" s="36"/>
    </row>
    <row r="306" customFormat="false" ht="15" hidden="false" customHeight="false" outlineLevel="0" collapsed="false">
      <c r="AG306" s="36"/>
      <c r="AH306" s="36"/>
      <c r="AI306" s="36"/>
      <c r="AK306" s="36"/>
      <c r="AL306" s="36"/>
    </row>
    <row r="307" customFormat="false" ht="15" hidden="false" customHeight="false" outlineLevel="0" collapsed="false">
      <c r="AG307" s="36"/>
      <c r="AH307" s="36"/>
      <c r="AI307" s="36"/>
      <c r="AK307" s="36"/>
      <c r="AL307" s="36"/>
    </row>
    <row r="308" customFormat="false" ht="15" hidden="false" customHeight="false" outlineLevel="0" collapsed="false">
      <c r="AG308" s="36"/>
      <c r="AH308" s="36"/>
      <c r="AI308" s="36"/>
      <c r="AK308" s="36"/>
      <c r="AL308" s="36"/>
    </row>
    <row r="309" customFormat="false" ht="15" hidden="false" customHeight="false" outlineLevel="0" collapsed="false">
      <c r="AG309" s="36"/>
      <c r="AH309" s="36"/>
      <c r="AI309" s="36"/>
      <c r="AK309" s="36"/>
      <c r="AL309" s="36"/>
    </row>
    <row r="310" customFormat="false" ht="15" hidden="false" customHeight="false" outlineLevel="0" collapsed="false">
      <c r="AG310" s="36"/>
      <c r="AH310" s="36"/>
      <c r="AI310" s="36"/>
      <c r="AK310" s="36"/>
      <c r="AL310" s="36"/>
    </row>
    <row r="311" customFormat="false" ht="15" hidden="false" customHeight="false" outlineLevel="0" collapsed="false">
      <c r="AG311" s="36"/>
      <c r="AH311" s="36"/>
      <c r="AI311" s="36"/>
      <c r="AK311" s="36"/>
      <c r="AL311" s="36"/>
    </row>
    <row r="312" customFormat="false" ht="15" hidden="false" customHeight="false" outlineLevel="0" collapsed="false">
      <c r="AG312" s="36"/>
      <c r="AH312" s="36"/>
      <c r="AI312" s="36"/>
      <c r="AK312" s="36"/>
      <c r="AL312" s="36"/>
    </row>
    <row r="313" customFormat="false" ht="15" hidden="false" customHeight="false" outlineLevel="0" collapsed="false">
      <c r="AG313" s="36"/>
      <c r="AH313" s="36"/>
      <c r="AI313" s="36"/>
      <c r="AK313" s="36"/>
      <c r="AL313" s="36"/>
    </row>
    <row r="314" customFormat="false" ht="15" hidden="false" customHeight="false" outlineLevel="0" collapsed="false">
      <c r="AG314" s="36"/>
      <c r="AH314" s="36"/>
      <c r="AI314" s="36"/>
      <c r="AK314" s="36"/>
      <c r="AL314" s="36"/>
    </row>
    <row r="315" customFormat="false" ht="15" hidden="false" customHeight="false" outlineLevel="0" collapsed="false">
      <c r="AG315" s="36"/>
      <c r="AH315" s="36"/>
      <c r="AI315" s="36"/>
      <c r="AK315" s="36"/>
      <c r="AL315" s="36"/>
    </row>
    <row r="316" customFormat="false" ht="15" hidden="false" customHeight="false" outlineLevel="0" collapsed="false">
      <c r="AG316" s="36"/>
      <c r="AH316" s="36"/>
      <c r="AI316" s="36"/>
      <c r="AK316" s="36"/>
      <c r="AL316" s="36"/>
    </row>
    <row r="317" customFormat="false" ht="15" hidden="false" customHeight="false" outlineLevel="0" collapsed="false">
      <c r="AG317" s="36"/>
      <c r="AH317" s="36"/>
      <c r="AI317" s="36"/>
      <c r="AK317" s="36"/>
      <c r="AL317" s="36"/>
    </row>
    <row r="318" customFormat="false" ht="15" hidden="false" customHeight="false" outlineLevel="0" collapsed="false">
      <c r="AG318" s="36"/>
      <c r="AH318" s="36"/>
      <c r="AI318" s="36"/>
      <c r="AK318" s="36"/>
      <c r="AL318" s="36"/>
    </row>
    <row r="319" customFormat="false" ht="15" hidden="false" customHeight="false" outlineLevel="0" collapsed="false">
      <c r="AG319" s="36"/>
      <c r="AH319" s="36"/>
      <c r="AI319" s="36"/>
      <c r="AK319" s="36"/>
      <c r="AL319" s="36"/>
    </row>
    <row r="320" customFormat="false" ht="15" hidden="false" customHeight="false" outlineLevel="0" collapsed="false">
      <c r="AG320" s="36"/>
      <c r="AH320" s="36"/>
      <c r="AI320" s="36"/>
      <c r="AK320" s="36"/>
      <c r="AL320" s="36"/>
    </row>
    <row r="321" customFormat="false" ht="15" hidden="false" customHeight="false" outlineLevel="0" collapsed="false">
      <c r="AG321" s="36"/>
      <c r="AH321" s="36"/>
      <c r="AI321" s="36"/>
      <c r="AK321" s="36"/>
      <c r="AL321" s="36"/>
    </row>
    <row r="322" customFormat="false" ht="15" hidden="false" customHeight="false" outlineLevel="0" collapsed="false">
      <c r="AG322" s="36"/>
      <c r="AH322" s="36"/>
      <c r="AI322" s="36"/>
      <c r="AK322" s="36"/>
      <c r="AL322" s="36"/>
    </row>
    <row r="323" customFormat="false" ht="15" hidden="false" customHeight="false" outlineLevel="0" collapsed="false">
      <c r="AG323" s="36"/>
      <c r="AH323" s="36"/>
      <c r="AI323" s="36"/>
      <c r="AK323" s="36"/>
      <c r="AL323" s="36"/>
    </row>
    <row r="324" customFormat="false" ht="15" hidden="false" customHeight="false" outlineLevel="0" collapsed="false">
      <c r="AG324" s="36"/>
      <c r="AH324" s="36"/>
      <c r="AI324" s="36"/>
      <c r="AK324" s="36"/>
      <c r="AL324" s="36"/>
    </row>
    <row r="325" customFormat="false" ht="15" hidden="false" customHeight="false" outlineLevel="0" collapsed="false">
      <c r="AG325" s="36"/>
      <c r="AH325" s="36"/>
      <c r="AI325" s="36"/>
      <c r="AK325" s="36"/>
      <c r="AL325" s="36"/>
    </row>
    <row r="326" customFormat="false" ht="15" hidden="false" customHeight="false" outlineLevel="0" collapsed="false">
      <c r="AG326" s="36"/>
      <c r="AH326" s="36"/>
      <c r="AI326" s="36"/>
      <c r="AK326" s="36"/>
      <c r="AL326" s="36"/>
    </row>
    <row r="327" customFormat="false" ht="15" hidden="false" customHeight="false" outlineLevel="0" collapsed="false">
      <c r="AG327" s="36"/>
      <c r="AH327" s="36"/>
      <c r="AI327" s="36"/>
      <c r="AK327" s="36"/>
      <c r="AL327" s="36"/>
    </row>
    <row r="328" customFormat="false" ht="15" hidden="false" customHeight="false" outlineLevel="0" collapsed="false">
      <c r="AG328" s="36"/>
      <c r="AH328" s="36"/>
      <c r="AI328" s="36"/>
      <c r="AK328" s="36"/>
      <c r="AL328" s="36"/>
    </row>
    <row r="329" customFormat="false" ht="15" hidden="false" customHeight="false" outlineLevel="0" collapsed="false">
      <c r="AG329" s="36"/>
      <c r="AH329" s="36"/>
      <c r="AI329" s="36"/>
      <c r="AK329" s="36"/>
      <c r="AL329" s="36"/>
    </row>
    <row r="330" customFormat="false" ht="15" hidden="false" customHeight="false" outlineLevel="0" collapsed="false">
      <c r="AG330" s="36"/>
      <c r="AH330" s="36"/>
      <c r="AI330" s="36"/>
      <c r="AK330" s="36"/>
      <c r="AL330" s="36"/>
    </row>
    <row r="331" customFormat="false" ht="15" hidden="false" customHeight="false" outlineLevel="0" collapsed="false">
      <c r="AG331" s="36"/>
      <c r="AH331" s="36"/>
      <c r="AI331" s="36"/>
      <c r="AK331" s="36"/>
      <c r="AL331" s="36"/>
    </row>
    <row r="332" customFormat="false" ht="15" hidden="false" customHeight="false" outlineLevel="0" collapsed="false">
      <c r="AG332" s="36"/>
      <c r="AH332" s="36"/>
      <c r="AI332" s="36"/>
      <c r="AK332" s="36"/>
      <c r="AL332" s="36"/>
    </row>
    <row r="333" customFormat="false" ht="15" hidden="false" customHeight="false" outlineLevel="0" collapsed="false">
      <c r="AG333" s="36"/>
      <c r="AH333" s="36"/>
      <c r="AI333" s="36"/>
      <c r="AK333" s="36"/>
      <c r="AL333" s="36"/>
    </row>
    <row r="334" customFormat="false" ht="15" hidden="false" customHeight="false" outlineLevel="0" collapsed="false">
      <c r="AG334" s="36"/>
      <c r="AH334" s="36"/>
      <c r="AI334" s="36"/>
      <c r="AK334" s="36"/>
      <c r="AL334" s="36"/>
    </row>
    <row r="335" customFormat="false" ht="15" hidden="false" customHeight="false" outlineLevel="0" collapsed="false">
      <c r="AG335" s="36"/>
      <c r="AH335" s="36"/>
      <c r="AI335" s="36"/>
      <c r="AK335" s="36"/>
      <c r="AL335" s="36"/>
    </row>
    <row r="336" customFormat="false" ht="15" hidden="false" customHeight="false" outlineLevel="0" collapsed="false">
      <c r="AG336" s="36"/>
      <c r="AH336" s="36"/>
      <c r="AI336" s="36"/>
      <c r="AK336" s="36"/>
      <c r="AL336" s="36"/>
    </row>
    <row r="337" customFormat="false" ht="15" hidden="false" customHeight="false" outlineLevel="0" collapsed="false">
      <c r="AG337" s="36"/>
      <c r="AH337" s="36"/>
      <c r="AI337" s="36"/>
      <c r="AK337" s="36"/>
      <c r="AL337" s="36"/>
    </row>
    <row r="338" customFormat="false" ht="15" hidden="false" customHeight="false" outlineLevel="0" collapsed="false">
      <c r="AG338" s="36"/>
      <c r="AH338" s="36"/>
      <c r="AI338" s="36"/>
      <c r="AK338" s="36"/>
      <c r="AL338" s="36"/>
    </row>
    <row r="339" customFormat="false" ht="15" hidden="false" customHeight="false" outlineLevel="0" collapsed="false">
      <c r="AG339" s="36"/>
      <c r="AH339" s="36"/>
      <c r="AI339" s="36"/>
      <c r="AK339" s="36"/>
      <c r="AL339" s="36"/>
    </row>
    <row r="340" customFormat="false" ht="15" hidden="false" customHeight="false" outlineLevel="0" collapsed="false">
      <c r="AG340" s="36"/>
      <c r="AH340" s="36"/>
      <c r="AI340" s="36"/>
      <c r="AK340" s="36"/>
      <c r="AL340" s="36"/>
    </row>
    <row r="341" customFormat="false" ht="15" hidden="false" customHeight="false" outlineLevel="0" collapsed="false">
      <c r="AG341" s="36"/>
      <c r="AH341" s="36"/>
      <c r="AI341" s="36"/>
      <c r="AK341" s="36"/>
      <c r="AL341" s="36"/>
    </row>
    <row r="342" customFormat="false" ht="15" hidden="false" customHeight="false" outlineLevel="0" collapsed="false">
      <c r="AG342" s="36"/>
      <c r="AH342" s="36"/>
      <c r="AI342" s="36"/>
      <c r="AK342" s="36"/>
      <c r="AL342" s="36"/>
    </row>
    <row r="343" customFormat="false" ht="15" hidden="false" customHeight="false" outlineLevel="0" collapsed="false">
      <c r="AG343" s="36"/>
      <c r="AH343" s="36"/>
      <c r="AI343" s="36"/>
      <c r="AK343" s="36"/>
      <c r="AL343" s="36"/>
    </row>
    <row r="344" customFormat="false" ht="15" hidden="false" customHeight="false" outlineLevel="0" collapsed="false">
      <c r="AG344" s="36"/>
      <c r="AH344" s="36"/>
      <c r="AI344" s="36"/>
      <c r="AK344" s="36"/>
      <c r="AL344" s="36"/>
    </row>
    <row r="345" customFormat="false" ht="15" hidden="false" customHeight="false" outlineLevel="0" collapsed="false">
      <c r="AG345" s="36"/>
      <c r="AH345" s="36"/>
      <c r="AI345" s="36"/>
      <c r="AK345" s="36"/>
      <c r="AL345" s="36"/>
    </row>
    <row r="346" customFormat="false" ht="15" hidden="false" customHeight="false" outlineLevel="0" collapsed="false">
      <c r="AG346" s="36"/>
      <c r="AH346" s="36"/>
      <c r="AI346" s="36"/>
      <c r="AK346" s="36"/>
      <c r="AL346" s="36"/>
    </row>
    <row r="347" customFormat="false" ht="15" hidden="false" customHeight="false" outlineLevel="0" collapsed="false">
      <c r="AG347" s="36"/>
      <c r="AH347" s="36"/>
      <c r="AI347" s="36"/>
      <c r="AK347" s="36"/>
      <c r="AL347" s="36"/>
    </row>
    <row r="348" customFormat="false" ht="15" hidden="false" customHeight="false" outlineLevel="0" collapsed="false">
      <c r="AG348" s="36"/>
      <c r="AH348" s="36"/>
      <c r="AI348" s="36"/>
      <c r="AK348" s="36"/>
      <c r="AL348" s="36"/>
    </row>
    <row r="349" customFormat="false" ht="15" hidden="false" customHeight="false" outlineLevel="0" collapsed="false">
      <c r="AG349" s="36"/>
      <c r="AH349" s="36"/>
      <c r="AI349" s="36"/>
      <c r="AK349" s="36"/>
      <c r="AL349" s="36"/>
    </row>
    <row r="350" customFormat="false" ht="15" hidden="false" customHeight="false" outlineLevel="0" collapsed="false">
      <c r="AG350" s="36"/>
      <c r="AH350" s="36"/>
      <c r="AI350" s="36"/>
      <c r="AK350" s="36"/>
      <c r="AL350" s="36"/>
    </row>
    <row r="351" customFormat="false" ht="15" hidden="false" customHeight="false" outlineLevel="0" collapsed="false">
      <c r="AG351" s="36"/>
      <c r="AH351" s="36"/>
      <c r="AI351" s="36"/>
      <c r="AK351" s="36"/>
      <c r="AL351" s="36"/>
    </row>
    <row r="352" customFormat="false" ht="15" hidden="false" customHeight="false" outlineLevel="0" collapsed="false">
      <c r="AG352" s="36"/>
      <c r="AH352" s="36"/>
      <c r="AI352" s="36"/>
      <c r="AK352" s="36"/>
      <c r="AL352" s="36"/>
    </row>
    <row r="353" customFormat="false" ht="15" hidden="false" customHeight="false" outlineLevel="0" collapsed="false">
      <c r="AG353" s="36"/>
      <c r="AH353" s="36"/>
      <c r="AI353" s="36"/>
      <c r="AK353" s="36"/>
      <c r="AL353" s="36"/>
    </row>
    <row r="354" customFormat="false" ht="15" hidden="false" customHeight="false" outlineLevel="0" collapsed="false">
      <c r="AG354" s="36"/>
      <c r="AH354" s="36"/>
      <c r="AI354" s="36"/>
      <c r="AK354" s="36"/>
      <c r="AL354" s="36"/>
    </row>
    <row r="355" customFormat="false" ht="15" hidden="false" customHeight="false" outlineLevel="0" collapsed="false">
      <c r="AG355" s="36"/>
      <c r="AH355" s="36"/>
      <c r="AI355" s="36"/>
      <c r="AK355" s="36"/>
      <c r="AL355" s="36"/>
    </row>
    <row r="356" customFormat="false" ht="15" hidden="false" customHeight="false" outlineLevel="0" collapsed="false">
      <c r="AG356" s="36"/>
      <c r="AH356" s="36"/>
      <c r="AI356" s="36"/>
      <c r="AK356" s="36"/>
      <c r="AL356" s="36"/>
    </row>
    <row r="357" customFormat="false" ht="15" hidden="false" customHeight="false" outlineLevel="0" collapsed="false">
      <c r="AG357" s="36"/>
      <c r="AH357" s="36"/>
      <c r="AI357" s="36"/>
      <c r="AK357" s="36"/>
      <c r="AL357" s="36"/>
    </row>
    <row r="358" customFormat="false" ht="15" hidden="false" customHeight="false" outlineLevel="0" collapsed="false">
      <c r="AG358" s="36"/>
      <c r="AH358" s="36"/>
      <c r="AI358" s="36"/>
      <c r="AK358" s="36"/>
      <c r="AL358" s="36"/>
    </row>
    <row r="359" customFormat="false" ht="15" hidden="false" customHeight="false" outlineLevel="0" collapsed="false">
      <c r="AG359" s="36"/>
      <c r="AH359" s="36"/>
      <c r="AI359" s="36"/>
      <c r="AK359" s="36"/>
      <c r="AL359" s="36"/>
    </row>
    <row r="360" customFormat="false" ht="15" hidden="false" customHeight="false" outlineLevel="0" collapsed="false">
      <c r="AG360" s="36"/>
      <c r="AH360" s="36"/>
      <c r="AI360" s="36"/>
      <c r="AK360" s="36"/>
      <c r="AL360" s="36"/>
    </row>
    <row r="361" customFormat="false" ht="15" hidden="false" customHeight="false" outlineLevel="0" collapsed="false">
      <c r="AG361" s="36"/>
      <c r="AH361" s="36"/>
      <c r="AI361" s="36"/>
      <c r="AK361" s="36"/>
      <c r="AL361" s="36"/>
    </row>
    <row r="362" customFormat="false" ht="15" hidden="false" customHeight="false" outlineLevel="0" collapsed="false">
      <c r="AG362" s="36"/>
      <c r="AH362" s="36"/>
      <c r="AI362" s="36"/>
      <c r="AK362" s="36"/>
      <c r="AL362" s="36"/>
    </row>
    <row r="363" customFormat="false" ht="15" hidden="false" customHeight="false" outlineLevel="0" collapsed="false">
      <c r="AG363" s="36"/>
      <c r="AH363" s="36"/>
      <c r="AI363" s="36"/>
      <c r="AK363" s="36"/>
      <c r="AL363" s="36"/>
    </row>
    <row r="364" customFormat="false" ht="15" hidden="false" customHeight="false" outlineLevel="0" collapsed="false">
      <c r="AG364" s="36"/>
      <c r="AH364" s="36"/>
      <c r="AI364" s="36"/>
      <c r="AK364" s="36"/>
      <c r="AL364" s="36"/>
    </row>
    <row r="365" customFormat="false" ht="15" hidden="false" customHeight="false" outlineLevel="0" collapsed="false">
      <c r="AG365" s="36"/>
      <c r="AH365" s="36"/>
      <c r="AI365" s="36"/>
      <c r="AK365" s="36"/>
      <c r="AL365" s="36"/>
    </row>
    <row r="366" customFormat="false" ht="15" hidden="false" customHeight="false" outlineLevel="0" collapsed="false">
      <c r="AG366" s="36"/>
      <c r="AH366" s="36"/>
      <c r="AI366" s="36"/>
      <c r="AK366" s="36"/>
      <c r="AL366" s="36"/>
    </row>
    <row r="367" customFormat="false" ht="15" hidden="false" customHeight="false" outlineLevel="0" collapsed="false">
      <c r="AG367" s="36"/>
      <c r="AH367" s="36"/>
      <c r="AI367" s="36"/>
      <c r="AK367" s="36"/>
      <c r="AL367" s="36"/>
    </row>
    <row r="368" customFormat="false" ht="15" hidden="false" customHeight="false" outlineLevel="0" collapsed="false">
      <c r="AG368" s="36"/>
      <c r="AH368" s="36"/>
      <c r="AI368" s="36"/>
      <c r="AK368" s="36"/>
      <c r="AL368" s="36"/>
    </row>
    <row r="369" customFormat="false" ht="15" hidden="false" customHeight="false" outlineLevel="0" collapsed="false">
      <c r="AG369" s="36"/>
      <c r="AH369" s="36"/>
      <c r="AI369" s="36"/>
      <c r="AK369" s="36"/>
      <c r="AL369" s="36"/>
    </row>
    <row r="370" customFormat="false" ht="15" hidden="false" customHeight="false" outlineLevel="0" collapsed="false">
      <c r="AG370" s="36"/>
      <c r="AH370" s="36"/>
      <c r="AI370" s="36"/>
      <c r="AK370" s="36"/>
      <c r="AL370" s="36"/>
    </row>
    <row r="371" customFormat="false" ht="15" hidden="false" customHeight="false" outlineLevel="0" collapsed="false">
      <c r="AG371" s="36"/>
      <c r="AH371" s="36"/>
      <c r="AI371" s="36"/>
      <c r="AK371" s="36"/>
      <c r="AL371" s="36"/>
    </row>
    <row r="372" customFormat="false" ht="15" hidden="false" customHeight="false" outlineLevel="0" collapsed="false">
      <c r="AG372" s="36"/>
      <c r="AH372" s="36"/>
      <c r="AI372" s="36"/>
      <c r="AK372" s="36"/>
      <c r="AL372" s="36"/>
    </row>
    <row r="373" customFormat="false" ht="15" hidden="false" customHeight="false" outlineLevel="0" collapsed="false">
      <c r="AG373" s="36"/>
      <c r="AH373" s="36"/>
      <c r="AI373" s="36"/>
      <c r="AK373" s="36"/>
      <c r="AL373" s="36"/>
    </row>
    <row r="374" customFormat="false" ht="15" hidden="false" customHeight="false" outlineLevel="0" collapsed="false">
      <c r="AG374" s="36"/>
      <c r="AH374" s="36"/>
      <c r="AI374" s="36"/>
      <c r="AK374" s="36"/>
      <c r="AL374" s="36"/>
    </row>
    <row r="375" customFormat="false" ht="15" hidden="false" customHeight="false" outlineLevel="0" collapsed="false">
      <c r="AG375" s="36"/>
      <c r="AH375" s="36"/>
      <c r="AI375" s="36"/>
      <c r="AK375" s="36"/>
      <c r="AL375" s="36"/>
    </row>
    <row r="376" customFormat="false" ht="15" hidden="false" customHeight="false" outlineLevel="0" collapsed="false">
      <c r="AG376" s="36"/>
      <c r="AH376" s="36"/>
      <c r="AI376" s="36"/>
      <c r="AK376" s="36"/>
      <c r="AL376" s="36"/>
    </row>
    <row r="377" customFormat="false" ht="15" hidden="false" customHeight="false" outlineLevel="0" collapsed="false">
      <c r="AG377" s="36"/>
      <c r="AH377" s="36"/>
      <c r="AI377" s="36"/>
      <c r="AK377" s="36"/>
      <c r="AL377" s="36"/>
    </row>
    <row r="378" customFormat="false" ht="15" hidden="false" customHeight="false" outlineLevel="0" collapsed="false">
      <c r="AG378" s="36"/>
      <c r="AH378" s="36"/>
      <c r="AI378" s="36"/>
      <c r="AK378" s="36"/>
      <c r="AL378" s="36"/>
    </row>
    <row r="379" customFormat="false" ht="15" hidden="false" customHeight="false" outlineLevel="0" collapsed="false">
      <c r="AG379" s="36"/>
      <c r="AH379" s="36"/>
      <c r="AI379" s="36"/>
      <c r="AK379" s="36"/>
      <c r="AL379" s="36"/>
    </row>
    <row r="380" customFormat="false" ht="15" hidden="false" customHeight="false" outlineLevel="0" collapsed="false">
      <c r="AG380" s="36"/>
      <c r="AH380" s="36"/>
      <c r="AI380" s="36"/>
      <c r="AK380" s="36"/>
      <c r="AL380" s="36"/>
    </row>
    <row r="381" customFormat="false" ht="15" hidden="false" customHeight="false" outlineLevel="0" collapsed="false">
      <c r="AG381" s="36"/>
      <c r="AH381" s="36"/>
      <c r="AI381" s="36"/>
      <c r="AK381" s="36"/>
      <c r="AL381" s="36"/>
    </row>
    <row r="382" customFormat="false" ht="15" hidden="false" customHeight="false" outlineLevel="0" collapsed="false">
      <c r="AG382" s="36"/>
      <c r="AH382" s="36"/>
      <c r="AI382" s="36"/>
      <c r="AK382" s="36"/>
      <c r="AL382" s="36"/>
    </row>
    <row r="383" customFormat="false" ht="15" hidden="false" customHeight="false" outlineLevel="0" collapsed="false">
      <c r="AG383" s="36"/>
      <c r="AH383" s="36"/>
      <c r="AI383" s="36"/>
      <c r="AK383" s="36"/>
      <c r="AL383" s="36"/>
    </row>
    <row r="384" customFormat="false" ht="15" hidden="false" customHeight="false" outlineLevel="0" collapsed="false">
      <c r="AG384" s="36"/>
      <c r="AH384" s="36"/>
      <c r="AI384" s="36"/>
      <c r="AK384" s="36"/>
      <c r="AL384" s="36"/>
    </row>
    <row r="385" customFormat="false" ht="15" hidden="false" customHeight="false" outlineLevel="0" collapsed="false">
      <c r="AG385" s="36"/>
      <c r="AH385" s="36"/>
      <c r="AI385" s="36"/>
      <c r="AK385" s="36"/>
      <c r="AL385" s="36"/>
    </row>
    <row r="386" customFormat="false" ht="15" hidden="false" customHeight="false" outlineLevel="0" collapsed="false">
      <c r="AG386" s="36"/>
      <c r="AH386" s="36"/>
      <c r="AI386" s="36"/>
      <c r="AK386" s="36"/>
      <c r="AL386" s="36"/>
    </row>
    <row r="387" customFormat="false" ht="15" hidden="false" customHeight="false" outlineLevel="0" collapsed="false">
      <c r="AG387" s="36"/>
      <c r="AH387" s="36"/>
      <c r="AI387" s="36"/>
      <c r="AK387" s="36"/>
      <c r="AL387" s="36"/>
    </row>
    <row r="388" customFormat="false" ht="15" hidden="false" customHeight="false" outlineLevel="0" collapsed="false">
      <c r="AG388" s="36"/>
      <c r="AH388" s="36"/>
      <c r="AI388" s="36"/>
      <c r="AK388" s="36"/>
      <c r="AL388" s="36"/>
    </row>
    <row r="389" customFormat="false" ht="15" hidden="false" customHeight="false" outlineLevel="0" collapsed="false">
      <c r="AG389" s="36"/>
      <c r="AH389" s="36"/>
      <c r="AI389" s="36"/>
      <c r="AK389" s="36"/>
      <c r="AL389" s="36"/>
    </row>
    <row r="390" customFormat="false" ht="15" hidden="false" customHeight="false" outlineLevel="0" collapsed="false">
      <c r="AG390" s="36"/>
      <c r="AH390" s="36"/>
      <c r="AI390" s="36"/>
      <c r="AK390" s="36"/>
      <c r="AL390" s="36"/>
    </row>
    <row r="391" customFormat="false" ht="15" hidden="false" customHeight="false" outlineLevel="0" collapsed="false">
      <c r="AG391" s="36"/>
      <c r="AH391" s="36"/>
      <c r="AI391" s="36"/>
      <c r="AK391" s="36"/>
      <c r="AL391" s="36"/>
    </row>
    <row r="392" customFormat="false" ht="15" hidden="false" customHeight="false" outlineLevel="0" collapsed="false">
      <c r="AG392" s="36"/>
      <c r="AH392" s="36"/>
      <c r="AI392" s="36"/>
      <c r="AK392" s="36"/>
      <c r="AL392" s="36"/>
    </row>
    <row r="393" customFormat="false" ht="15" hidden="false" customHeight="false" outlineLevel="0" collapsed="false">
      <c r="AG393" s="36"/>
      <c r="AH393" s="36"/>
      <c r="AI393" s="36"/>
      <c r="AK393" s="36"/>
      <c r="AL393" s="36"/>
    </row>
    <row r="394" customFormat="false" ht="15" hidden="false" customHeight="false" outlineLevel="0" collapsed="false">
      <c r="AG394" s="36"/>
      <c r="AH394" s="36"/>
      <c r="AI394" s="36"/>
      <c r="AK394" s="36"/>
      <c r="AL394" s="36"/>
    </row>
    <row r="395" customFormat="false" ht="15" hidden="false" customHeight="false" outlineLevel="0" collapsed="false">
      <c r="AG395" s="36"/>
      <c r="AH395" s="36"/>
      <c r="AI395" s="36"/>
      <c r="AK395" s="36"/>
      <c r="AL395" s="36"/>
    </row>
    <row r="396" customFormat="false" ht="15" hidden="false" customHeight="false" outlineLevel="0" collapsed="false">
      <c r="AG396" s="36"/>
      <c r="AH396" s="36"/>
      <c r="AI396" s="36"/>
      <c r="AK396" s="36"/>
      <c r="AL396" s="36"/>
    </row>
    <row r="397" customFormat="false" ht="15" hidden="false" customHeight="false" outlineLevel="0" collapsed="false">
      <c r="AG397" s="36"/>
      <c r="AH397" s="36"/>
      <c r="AI397" s="36"/>
      <c r="AK397" s="36"/>
      <c r="AL397" s="36"/>
    </row>
    <row r="398" customFormat="false" ht="15" hidden="false" customHeight="false" outlineLevel="0" collapsed="false">
      <c r="AG398" s="36"/>
      <c r="AH398" s="36"/>
      <c r="AI398" s="36"/>
      <c r="AK398" s="36"/>
      <c r="AL398" s="36"/>
    </row>
    <row r="399" customFormat="false" ht="15" hidden="false" customHeight="false" outlineLevel="0" collapsed="false">
      <c r="AG399" s="36"/>
      <c r="AH399" s="36"/>
      <c r="AI399" s="36"/>
      <c r="AK399" s="36"/>
      <c r="AL399" s="36"/>
    </row>
    <row r="400" customFormat="false" ht="15" hidden="false" customHeight="false" outlineLevel="0" collapsed="false">
      <c r="AG400" s="36"/>
      <c r="AH400" s="36"/>
      <c r="AI400" s="36"/>
      <c r="AK400" s="36"/>
      <c r="AL400" s="36"/>
    </row>
    <row r="401" customFormat="false" ht="15" hidden="false" customHeight="false" outlineLevel="0" collapsed="false">
      <c r="AG401" s="36"/>
      <c r="AH401" s="36"/>
      <c r="AI401" s="36"/>
      <c r="AK401" s="36"/>
      <c r="AL401" s="36"/>
    </row>
    <row r="402" customFormat="false" ht="15" hidden="false" customHeight="false" outlineLevel="0" collapsed="false">
      <c r="AG402" s="36"/>
      <c r="AH402" s="36"/>
      <c r="AI402" s="36"/>
      <c r="AK402" s="36"/>
      <c r="AL402" s="36"/>
    </row>
    <row r="403" customFormat="false" ht="15" hidden="false" customHeight="false" outlineLevel="0" collapsed="false">
      <c r="AG403" s="36"/>
      <c r="AH403" s="36"/>
      <c r="AI403" s="36"/>
      <c r="AK403" s="36"/>
      <c r="AL403" s="36"/>
    </row>
    <row r="404" customFormat="false" ht="15" hidden="false" customHeight="false" outlineLevel="0" collapsed="false">
      <c r="AG404" s="36"/>
      <c r="AH404" s="36"/>
      <c r="AI404" s="36"/>
      <c r="AK404" s="36"/>
      <c r="AL404" s="36"/>
    </row>
    <row r="405" customFormat="false" ht="15" hidden="false" customHeight="false" outlineLevel="0" collapsed="false">
      <c r="AG405" s="36"/>
      <c r="AH405" s="36"/>
      <c r="AI405" s="36"/>
      <c r="AK405" s="36"/>
      <c r="AL405" s="36"/>
    </row>
    <row r="406" customFormat="false" ht="15" hidden="false" customHeight="false" outlineLevel="0" collapsed="false">
      <c r="AG406" s="36"/>
      <c r="AH406" s="36"/>
      <c r="AI406" s="36"/>
      <c r="AK406" s="36"/>
      <c r="AL406" s="36"/>
    </row>
    <row r="407" customFormat="false" ht="15" hidden="false" customHeight="false" outlineLevel="0" collapsed="false">
      <c r="AG407" s="36"/>
      <c r="AH407" s="36"/>
      <c r="AI407" s="36"/>
      <c r="AK407" s="36"/>
      <c r="AL407" s="36"/>
    </row>
    <row r="408" customFormat="false" ht="15" hidden="false" customHeight="false" outlineLevel="0" collapsed="false">
      <c r="AG408" s="36"/>
      <c r="AH408" s="36"/>
      <c r="AI408" s="36"/>
      <c r="AK408" s="36"/>
      <c r="AL408" s="36"/>
    </row>
    <row r="409" customFormat="false" ht="15" hidden="false" customHeight="false" outlineLevel="0" collapsed="false">
      <c r="AG409" s="36"/>
      <c r="AH409" s="36"/>
      <c r="AI409" s="36"/>
      <c r="AK409" s="36"/>
      <c r="AL409" s="36"/>
    </row>
    <row r="410" customFormat="false" ht="15" hidden="false" customHeight="false" outlineLevel="0" collapsed="false">
      <c r="AG410" s="36"/>
      <c r="AH410" s="36"/>
      <c r="AI410" s="36"/>
      <c r="AK410" s="36"/>
      <c r="AL410" s="36"/>
    </row>
    <row r="411" customFormat="false" ht="15" hidden="false" customHeight="false" outlineLevel="0" collapsed="false">
      <c r="AG411" s="36"/>
      <c r="AH411" s="36"/>
      <c r="AI411" s="36"/>
      <c r="AK411" s="36"/>
      <c r="AL411" s="36"/>
    </row>
    <row r="412" customFormat="false" ht="15" hidden="false" customHeight="false" outlineLevel="0" collapsed="false">
      <c r="AG412" s="36"/>
      <c r="AH412" s="36"/>
      <c r="AI412" s="36"/>
      <c r="AK412" s="36"/>
      <c r="AL412" s="36"/>
    </row>
    <row r="413" customFormat="false" ht="15" hidden="false" customHeight="false" outlineLevel="0" collapsed="false">
      <c r="AG413" s="36"/>
      <c r="AH413" s="36"/>
      <c r="AI413" s="36"/>
      <c r="AK413" s="36"/>
      <c r="AL413" s="36"/>
    </row>
    <row r="414" customFormat="false" ht="15" hidden="false" customHeight="false" outlineLevel="0" collapsed="false">
      <c r="AG414" s="36"/>
      <c r="AH414" s="36"/>
      <c r="AI414" s="36"/>
      <c r="AK414" s="36"/>
      <c r="AL414" s="36"/>
    </row>
    <row r="415" customFormat="false" ht="15" hidden="false" customHeight="false" outlineLevel="0" collapsed="false">
      <c r="AG415" s="36"/>
      <c r="AH415" s="36"/>
      <c r="AI415" s="36"/>
      <c r="AK415" s="36"/>
      <c r="AL415" s="36"/>
    </row>
    <row r="416" customFormat="false" ht="15" hidden="false" customHeight="false" outlineLevel="0" collapsed="false">
      <c r="AG416" s="36"/>
      <c r="AH416" s="36"/>
      <c r="AI416" s="36"/>
      <c r="AK416" s="36"/>
      <c r="AL416" s="36"/>
    </row>
    <row r="417" customFormat="false" ht="15" hidden="false" customHeight="false" outlineLevel="0" collapsed="false">
      <c r="AG417" s="36"/>
      <c r="AH417" s="36"/>
      <c r="AI417" s="36"/>
      <c r="AK417" s="36"/>
      <c r="AL417" s="36"/>
    </row>
    <row r="418" customFormat="false" ht="15" hidden="false" customHeight="false" outlineLevel="0" collapsed="false">
      <c r="AG418" s="36"/>
      <c r="AH418" s="36"/>
      <c r="AI418" s="36"/>
      <c r="AK418" s="36"/>
      <c r="AL418" s="36"/>
    </row>
    <row r="419" customFormat="false" ht="15" hidden="false" customHeight="false" outlineLevel="0" collapsed="false">
      <c r="AG419" s="36"/>
      <c r="AH419" s="36"/>
      <c r="AI419" s="36"/>
      <c r="AK419" s="36"/>
      <c r="AL419" s="36"/>
    </row>
    <row r="420" customFormat="false" ht="15" hidden="false" customHeight="false" outlineLevel="0" collapsed="false">
      <c r="AG420" s="36"/>
      <c r="AH420" s="36"/>
      <c r="AI420" s="36"/>
      <c r="AK420" s="36"/>
      <c r="AL420" s="36"/>
    </row>
    <row r="421" customFormat="false" ht="15" hidden="false" customHeight="false" outlineLevel="0" collapsed="false">
      <c r="AG421" s="36"/>
      <c r="AH421" s="36"/>
      <c r="AI421" s="36"/>
      <c r="AK421" s="36"/>
      <c r="AL421" s="36"/>
    </row>
    <row r="422" customFormat="false" ht="15" hidden="false" customHeight="false" outlineLevel="0" collapsed="false">
      <c r="AG422" s="36"/>
      <c r="AH422" s="36"/>
      <c r="AI422" s="36"/>
      <c r="AK422" s="36"/>
      <c r="AL422" s="36"/>
    </row>
    <row r="423" customFormat="false" ht="15" hidden="false" customHeight="false" outlineLevel="0" collapsed="false">
      <c r="AG423" s="36"/>
      <c r="AH423" s="36"/>
      <c r="AI423" s="36"/>
      <c r="AK423" s="36"/>
      <c r="AL423" s="36"/>
    </row>
    <row r="424" customFormat="false" ht="15" hidden="false" customHeight="false" outlineLevel="0" collapsed="false">
      <c r="AG424" s="36"/>
      <c r="AH424" s="36"/>
      <c r="AI424" s="36"/>
      <c r="AK424" s="36"/>
      <c r="AL424" s="36"/>
    </row>
    <row r="425" customFormat="false" ht="15" hidden="false" customHeight="false" outlineLevel="0" collapsed="false">
      <c r="AG425" s="36"/>
      <c r="AH425" s="36"/>
      <c r="AI425" s="36"/>
      <c r="AK425" s="36"/>
      <c r="AL425" s="36"/>
    </row>
    <row r="426" customFormat="false" ht="15" hidden="false" customHeight="false" outlineLevel="0" collapsed="false">
      <c r="AG426" s="36"/>
      <c r="AH426" s="36"/>
      <c r="AI426" s="36"/>
      <c r="AK426" s="36"/>
      <c r="AL426" s="36"/>
    </row>
    <row r="427" customFormat="false" ht="15" hidden="false" customHeight="false" outlineLevel="0" collapsed="false">
      <c r="AG427" s="36"/>
      <c r="AH427" s="36"/>
      <c r="AI427" s="36"/>
      <c r="AK427" s="36"/>
      <c r="AL427" s="36"/>
    </row>
    <row r="428" customFormat="false" ht="15" hidden="false" customHeight="false" outlineLevel="0" collapsed="false">
      <c r="AG428" s="36"/>
      <c r="AH428" s="36"/>
      <c r="AI428" s="36"/>
      <c r="AK428" s="36"/>
      <c r="AL428" s="36"/>
    </row>
    <row r="429" customFormat="false" ht="15" hidden="false" customHeight="false" outlineLevel="0" collapsed="false">
      <c r="AG429" s="36"/>
      <c r="AH429" s="36"/>
      <c r="AI429" s="36"/>
      <c r="AK429" s="36"/>
      <c r="AL429" s="36"/>
    </row>
    <row r="430" customFormat="false" ht="15" hidden="false" customHeight="false" outlineLevel="0" collapsed="false">
      <c r="AG430" s="36"/>
      <c r="AH430" s="36"/>
      <c r="AI430" s="36"/>
      <c r="AK430" s="36"/>
      <c r="AL430" s="36"/>
    </row>
    <row r="431" customFormat="false" ht="15" hidden="false" customHeight="false" outlineLevel="0" collapsed="false">
      <c r="AG431" s="36"/>
      <c r="AH431" s="36"/>
      <c r="AI431" s="36"/>
      <c r="AK431" s="36"/>
      <c r="AL431" s="36"/>
    </row>
    <row r="432" customFormat="false" ht="15" hidden="false" customHeight="false" outlineLevel="0" collapsed="false">
      <c r="AG432" s="36"/>
      <c r="AH432" s="36"/>
      <c r="AI432" s="36"/>
      <c r="AK432" s="36"/>
      <c r="AL432" s="36"/>
    </row>
    <row r="433" customFormat="false" ht="15" hidden="false" customHeight="false" outlineLevel="0" collapsed="false">
      <c r="AG433" s="36"/>
      <c r="AH433" s="36"/>
      <c r="AI433" s="36"/>
      <c r="AK433" s="36"/>
      <c r="AL433" s="36"/>
    </row>
    <row r="434" customFormat="false" ht="15" hidden="false" customHeight="false" outlineLevel="0" collapsed="false">
      <c r="AG434" s="36"/>
      <c r="AH434" s="36"/>
      <c r="AI434" s="36"/>
      <c r="AK434" s="36"/>
      <c r="AL434" s="36"/>
    </row>
    <row r="435" customFormat="false" ht="15" hidden="false" customHeight="false" outlineLevel="0" collapsed="false">
      <c r="AG435" s="36"/>
      <c r="AH435" s="36"/>
      <c r="AI435" s="36"/>
      <c r="AK435" s="36"/>
      <c r="AL435" s="36"/>
    </row>
    <row r="436" customFormat="false" ht="15" hidden="false" customHeight="false" outlineLevel="0" collapsed="false">
      <c r="AG436" s="36"/>
      <c r="AH436" s="36"/>
      <c r="AI436" s="36"/>
      <c r="AK436" s="36"/>
      <c r="AL436" s="36"/>
    </row>
    <row r="437" customFormat="false" ht="15" hidden="false" customHeight="false" outlineLevel="0" collapsed="false">
      <c r="AG437" s="36"/>
      <c r="AH437" s="36"/>
      <c r="AI437" s="36"/>
      <c r="AK437" s="36"/>
      <c r="AL437" s="36"/>
    </row>
    <row r="438" customFormat="false" ht="15" hidden="false" customHeight="false" outlineLevel="0" collapsed="false">
      <c r="AG438" s="36"/>
      <c r="AH438" s="36"/>
      <c r="AI438" s="36"/>
      <c r="AK438" s="36"/>
      <c r="AL438" s="36"/>
    </row>
    <row r="439" customFormat="false" ht="15" hidden="false" customHeight="false" outlineLevel="0" collapsed="false">
      <c r="AG439" s="36"/>
      <c r="AH439" s="36"/>
      <c r="AI439" s="36"/>
      <c r="AK439" s="36"/>
      <c r="AL439" s="36"/>
    </row>
    <row r="440" customFormat="false" ht="15" hidden="false" customHeight="false" outlineLevel="0" collapsed="false">
      <c r="AG440" s="36"/>
      <c r="AH440" s="36"/>
      <c r="AI440" s="36"/>
      <c r="AK440" s="36"/>
      <c r="AL440" s="36"/>
    </row>
    <row r="441" customFormat="false" ht="15" hidden="false" customHeight="false" outlineLevel="0" collapsed="false">
      <c r="AG441" s="36"/>
      <c r="AH441" s="36"/>
      <c r="AI441" s="36"/>
      <c r="AK441" s="36"/>
      <c r="AL441" s="36"/>
    </row>
    <row r="442" customFormat="false" ht="15" hidden="false" customHeight="false" outlineLevel="0" collapsed="false">
      <c r="AG442" s="36"/>
      <c r="AH442" s="36"/>
      <c r="AI442" s="36"/>
      <c r="AK442" s="36"/>
      <c r="AL442" s="36"/>
    </row>
    <row r="443" customFormat="false" ht="15" hidden="false" customHeight="false" outlineLevel="0" collapsed="false">
      <c r="AG443" s="36"/>
      <c r="AH443" s="36"/>
      <c r="AI443" s="36"/>
      <c r="AK443" s="36"/>
      <c r="AL443" s="36"/>
    </row>
    <row r="444" customFormat="false" ht="15" hidden="false" customHeight="false" outlineLevel="0" collapsed="false">
      <c r="AG444" s="36"/>
      <c r="AH444" s="36"/>
      <c r="AI444" s="36"/>
      <c r="AK444" s="36"/>
      <c r="AL444" s="36"/>
    </row>
    <row r="445" customFormat="false" ht="15" hidden="false" customHeight="false" outlineLevel="0" collapsed="false">
      <c r="AG445" s="36"/>
      <c r="AH445" s="36"/>
      <c r="AI445" s="36"/>
      <c r="AK445" s="36"/>
      <c r="AL445" s="36"/>
    </row>
    <row r="446" customFormat="false" ht="15" hidden="false" customHeight="false" outlineLevel="0" collapsed="false">
      <c r="AG446" s="36"/>
      <c r="AH446" s="36"/>
      <c r="AI446" s="36"/>
      <c r="AK446" s="36"/>
      <c r="AL446" s="36"/>
    </row>
    <row r="447" customFormat="false" ht="15" hidden="false" customHeight="false" outlineLevel="0" collapsed="false">
      <c r="AG447" s="36"/>
      <c r="AH447" s="36"/>
      <c r="AI447" s="36"/>
      <c r="AK447" s="36"/>
      <c r="AL447" s="36"/>
    </row>
    <row r="448" customFormat="false" ht="15" hidden="false" customHeight="false" outlineLevel="0" collapsed="false">
      <c r="AG448" s="36"/>
      <c r="AH448" s="36"/>
      <c r="AI448" s="36"/>
      <c r="AK448" s="36"/>
      <c r="AL448" s="36"/>
    </row>
    <row r="449" customFormat="false" ht="15" hidden="false" customHeight="false" outlineLevel="0" collapsed="false">
      <c r="AG449" s="36"/>
      <c r="AH449" s="36"/>
      <c r="AI449" s="36"/>
      <c r="AK449" s="36"/>
      <c r="AL449" s="36"/>
    </row>
    <row r="450" customFormat="false" ht="15" hidden="false" customHeight="false" outlineLevel="0" collapsed="false">
      <c r="AG450" s="36"/>
      <c r="AH450" s="36"/>
      <c r="AI450" s="36"/>
      <c r="AK450" s="36"/>
      <c r="AL450" s="36"/>
    </row>
    <row r="451" customFormat="false" ht="15" hidden="false" customHeight="false" outlineLevel="0" collapsed="false">
      <c r="AG451" s="36"/>
      <c r="AH451" s="36"/>
      <c r="AI451" s="36"/>
      <c r="AK451" s="36"/>
      <c r="AL451" s="36"/>
    </row>
    <row r="452" customFormat="false" ht="15" hidden="false" customHeight="false" outlineLevel="0" collapsed="false">
      <c r="AG452" s="36"/>
      <c r="AH452" s="36"/>
      <c r="AI452" s="36"/>
      <c r="AK452" s="36"/>
      <c r="AL452" s="36"/>
    </row>
    <row r="453" customFormat="false" ht="15" hidden="false" customHeight="false" outlineLevel="0" collapsed="false">
      <c r="AG453" s="36"/>
      <c r="AH453" s="36"/>
      <c r="AI453" s="36"/>
      <c r="AK453" s="36"/>
      <c r="AL453" s="36"/>
    </row>
    <row r="454" customFormat="false" ht="15" hidden="false" customHeight="false" outlineLevel="0" collapsed="false">
      <c r="AG454" s="36"/>
      <c r="AH454" s="36"/>
      <c r="AI454" s="36"/>
      <c r="AK454" s="36"/>
      <c r="AL454" s="36"/>
    </row>
    <row r="455" customFormat="false" ht="15" hidden="false" customHeight="false" outlineLevel="0" collapsed="false">
      <c r="AG455" s="36"/>
      <c r="AH455" s="36"/>
      <c r="AI455" s="36"/>
      <c r="AK455" s="36"/>
      <c r="AL455" s="36"/>
    </row>
    <row r="456" customFormat="false" ht="15" hidden="false" customHeight="false" outlineLevel="0" collapsed="false">
      <c r="AG456" s="36"/>
      <c r="AH456" s="36"/>
      <c r="AI456" s="36"/>
      <c r="AK456" s="36"/>
      <c r="AL456" s="36"/>
    </row>
    <row r="457" customFormat="false" ht="15" hidden="false" customHeight="false" outlineLevel="0" collapsed="false">
      <c r="AG457" s="36"/>
      <c r="AH457" s="36"/>
      <c r="AI457" s="36"/>
      <c r="AK457" s="36"/>
      <c r="AL457" s="36"/>
    </row>
    <row r="458" customFormat="false" ht="15" hidden="false" customHeight="false" outlineLevel="0" collapsed="false">
      <c r="AG458" s="36"/>
      <c r="AH458" s="36"/>
      <c r="AI458" s="36"/>
      <c r="AK458" s="36"/>
      <c r="AL458" s="36"/>
    </row>
    <row r="459" customFormat="false" ht="15" hidden="false" customHeight="false" outlineLevel="0" collapsed="false">
      <c r="AG459" s="36"/>
      <c r="AH459" s="36"/>
      <c r="AI459" s="36"/>
      <c r="AK459" s="36"/>
      <c r="AL459" s="36"/>
    </row>
    <row r="460" customFormat="false" ht="15" hidden="false" customHeight="false" outlineLevel="0" collapsed="false">
      <c r="AG460" s="36"/>
      <c r="AH460" s="36"/>
      <c r="AI460" s="36"/>
      <c r="AK460" s="36"/>
      <c r="AL460" s="36"/>
    </row>
    <row r="461" customFormat="false" ht="15" hidden="false" customHeight="false" outlineLevel="0" collapsed="false">
      <c r="AG461" s="36"/>
      <c r="AH461" s="36"/>
      <c r="AI461" s="36"/>
      <c r="AK461" s="36"/>
      <c r="AL461" s="36"/>
    </row>
    <row r="462" customFormat="false" ht="15" hidden="false" customHeight="false" outlineLevel="0" collapsed="false">
      <c r="AG462" s="36"/>
      <c r="AH462" s="36"/>
      <c r="AI462" s="36"/>
      <c r="AK462" s="36"/>
      <c r="AL462" s="36"/>
    </row>
    <row r="463" customFormat="false" ht="15" hidden="false" customHeight="false" outlineLevel="0" collapsed="false">
      <c r="AG463" s="36"/>
      <c r="AH463" s="36"/>
      <c r="AI463" s="36"/>
      <c r="AK463" s="36"/>
      <c r="AL463" s="36"/>
    </row>
    <row r="464" customFormat="false" ht="15" hidden="false" customHeight="false" outlineLevel="0" collapsed="false">
      <c r="AG464" s="36"/>
      <c r="AH464" s="36"/>
      <c r="AI464" s="36"/>
      <c r="AK464" s="36"/>
      <c r="AL464" s="36"/>
    </row>
    <row r="465" customFormat="false" ht="15" hidden="false" customHeight="false" outlineLevel="0" collapsed="false">
      <c r="AG465" s="36"/>
      <c r="AH465" s="36"/>
      <c r="AI465" s="36"/>
      <c r="AK465" s="36"/>
      <c r="AL465" s="36"/>
    </row>
    <row r="466" customFormat="false" ht="15" hidden="false" customHeight="false" outlineLevel="0" collapsed="false">
      <c r="AG466" s="36"/>
      <c r="AH466" s="36"/>
      <c r="AI466" s="36"/>
      <c r="AK466" s="36"/>
      <c r="AL466" s="36"/>
    </row>
    <row r="467" customFormat="false" ht="15" hidden="false" customHeight="false" outlineLevel="0" collapsed="false">
      <c r="AG467" s="36"/>
      <c r="AH467" s="36"/>
      <c r="AI467" s="36"/>
      <c r="AK467" s="36"/>
      <c r="AL467" s="36"/>
    </row>
    <row r="468" customFormat="false" ht="15" hidden="false" customHeight="false" outlineLevel="0" collapsed="false">
      <c r="AG468" s="36"/>
      <c r="AH468" s="36"/>
      <c r="AI468" s="36"/>
      <c r="AK468" s="36"/>
      <c r="AL468" s="36"/>
    </row>
    <row r="469" customFormat="false" ht="15" hidden="false" customHeight="false" outlineLevel="0" collapsed="false">
      <c r="AG469" s="36"/>
      <c r="AH469" s="36"/>
      <c r="AI469" s="36"/>
      <c r="AK469" s="36"/>
      <c r="AL469" s="36"/>
    </row>
    <row r="470" customFormat="false" ht="15" hidden="false" customHeight="false" outlineLevel="0" collapsed="false">
      <c r="AG470" s="36"/>
      <c r="AH470" s="36"/>
      <c r="AI470" s="36"/>
      <c r="AK470" s="36"/>
      <c r="AL470" s="36"/>
    </row>
    <row r="471" customFormat="false" ht="15" hidden="false" customHeight="false" outlineLevel="0" collapsed="false">
      <c r="AG471" s="36"/>
      <c r="AH471" s="36"/>
      <c r="AI471" s="36"/>
      <c r="AK471" s="36"/>
      <c r="AL471" s="36"/>
    </row>
    <row r="472" customFormat="false" ht="15" hidden="false" customHeight="false" outlineLevel="0" collapsed="false">
      <c r="AG472" s="36"/>
      <c r="AH472" s="36"/>
      <c r="AI472" s="36"/>
      <c r="AK472" s="36"/>
      <c r="AL472" s="36"/>
    </row>
    <row r="473" customFormat="false" ht="15" hidden="false" customHeight="false" outlineLevel="0" collapsed="false">
      <c r="AG473" s="36"/>
      <c r="AH473" s="36"/>
      <c r="AI473" s="36"/>
      <c r="AK473" s="36"/>
      <c r="AL473" s="36"/>
    </row>
    <row r="474" customFormat="false" ht="15" hidden="false" customHeight="false" outlineLevel="0" collapsed="false">
      <c r="AG474" s="36"/>
      <c r="AH474" s="36"/>
      <c r="AI474" s="36"/>
      <c r="AK474" s="36"/>
      <c r="AL474" s="36"/>
    </row>
    <row r="475" customFormat="false" ht="15" hidden="false" customHeight="false" outlineLevel="0" collapsed="false">
      <c r="AG475" s="36"/>
      <c r="AH475" s="36"/>
      <c r="AI475" s="36"/>
      <c r="AK475" s="36"/>
      <c r="AL475" s="36"/>
    </row>
    <row r="476" customFormat="false" ht="15" hidden="false" customHeight="false" outlineLevel="0" collapsed="false">
      <c r="AG476" s="36"/>
      <c r="AH476" s="36"/>
      <c r="AI476" s="36"/>
      <c r="AK476" s="36"/>
      <c r="AL476" s="36"/>
    </row>
    <row r="477" customFormat="false" ht="15" hidden="false" customHeight="false" outlineLevel="0" collapsed="false">
      <c r="AG477" s="36"/>
      <c r="AH477" s="36"/>
      <c r="AI477" s="36"/>
      <c r="AK477" s="36"/>
      <c r="AL477" s="36"/>
    </row>
    <row r="478" customFormat="false" ht="15" hidden="false" customHeight="false" outlineLevel="0" collapsed="false">
      <c r="AG478" s="36"/>
      <c r="AH478" s="36"/>
      <c r="AI478" s="36"/>
      <c r="AK478" s="36"/>
      <c r="AL478" s="36"/>
    </row>
    <row r="479" customFormat="false" ht="15" hidden="false" customHeight="false" outlineLevel="0" collapsed="false">
      <c r="AG479" s="36"/>
      <c r="AH479" s="36"/>
      <c r="AI479" s="36"/>
      <c r="AK479" s="36"/>
      <c r="AL479" s="36"/>
    </row>
    <row r="480" customFormat="false" ht="15" hidden="false" customHeight="false" outlineLevel="0" collapsed="false">
      <c r="AG480" s="36"/>
      <c r="AH480" s="36"/>
      <c r="AI480" s="36"/>
      <c r="AK480" s="36"/>
      <c r="AL480" s="36"/>
    </row>
    <row r="481" customFormat="false" ht="15" hidden="false" customHeight="false" outlineLevel="0" collapsed="false">
      <c r="AG481" s="36"/>
      <c r="AH481" s="36"/>
      <c r="AI481" s="36"/>
      <c r="AK481" s="36"/>
      <c r="AL481" s="36"/>
    </row>
    <row r="482" customFormat="false" ht="15" hidden="false" customHeight="false" outlineLevel="0" collapsed="false">
      <c r="AG482" s="36"/>
      <c r="AH482" s="36"/>
      <c r="AI482" s="36"/>
      <c r="AK482" s="36"/>
      <c r="AL482" s="36"/>
    </row>
    <row r="483" customFormat="false" ht="15" hidden="false" customHeight="false" outlineLevel="0" collapsed="false">
      <c r="AG483" s="36"/>
      <c r="AH483" s="36"/>
      <c r="AI483" s="36"/>
      <c r="AK483" s="36"/>
      <c r="AL483" s="36"/>
    </row>
    <row r="484" customFormat="false" ht="15" hidden="false" customHeight="false" outlineLevel="0" collapsed="false">
      <c r="AG484" s="36"/>
      <c r="AH484" s="36"/>
      <c r="AI484" s="36"/>
      <c r="AK484" s="36"/>
      <c r="AL484" s="36"/>
    </row>
    <row r="485" customFormat="false" ht="15" hidden="false" customHeight="false" outlineLevel="0" collapsed="false">
      <c r="AG485" s="36"/>
      <c r="AH485" s="36"/>
      <c r="AI485" s="36"/>
      <c r="AK485" s="36"/>
      <c r="AL485" s="36"/>
    </row>
    <row r="486" customFormat="false" ht="15" hidden="false" customHeight="false" outlineLevel="0" collapsed="false">
      <c r="AG486" s="36"/>
      <c r="AH486" s="36"/>
      <c r="AI486" s="36"/>
      <c r="AK486" s="36"/>
      <c r="AL486" s="36"/>
    </row>
    <row r="487" customFormat="false" ht="15" hidden="false" customHeight="false" outlineLevel="0" collapsed="false">
      <c r="AG487" s="36"/>
      <c r="AH487" s="36"/>
      <c r="AI487" s="36"/>
      <c r="AK487" s="36"/>
      <c r="AL487" s="36"/>
    </row>
    <row r="488" customFormat="false" ht="15" hidden="false" customHeight="false" outlineLevel="0" collapsed="false">
      <c r="AG488" s="36"/>
      <c r="AH488" s="36"/>
      <c r="AI488" s="36"/>
      <c r="AK488" s="36"/>
      <c r="AL488" s="36"/>
    </row>
    <row r="489" customFormat="false" ht="15" hidden="false" customHeight="false" outlineLevel="0" collapsed="false">
      <c r="AG489" s="36"/>
      <c r="AH489" s="36"/>
      <c r="AI489" s="36"/>
      <c r="AK489" s="36"/>
      <c r="AL489" s="36"/>
    </row>
    <row r="490" customFormat="false" ht="15" hidden="false" customHeight="false" outlineLevel="0" collapsed="false">
      <c r="AG490" s="36"/>
      <c r="AH490" s="36"/>
      <c r="AI490" s="36"/>
      <c r="AK490" s="36"/>
      <c r="AL490" s="36"/>
    </row>
    <row r="491" customFormat="false" ht="15" hidden="false" customHeight="false" outlineLevel="0" collapsed="false">
      <c r="AG491" s="36"/>
      <c r="AH491" s="36"/>
      <c r="AI491" s="36"/>
      <c r="AK491" s="36"/>
      <c r="AL491" s="36"/>
    </row>
    <row r="492" customFormat="false" ht="15" hidden="false" customHeight="false" outlineLevel="0" collapsed="false">
      <c r="AG492" s="36"/>
      <c r="AH492" s="36"/>
      <c r="AI492" s="36"/>
      <c r="AK492" s="36"/>
      <c r="AL492" s="36"/>
    </row>
    <row r="493" customFormat="false" ht="15" hidden="false" customHeight="false" outlineLevel="0" collapsed="false">
      <c r="AG493" s="36"/>
      <c r="AH493" s="36"/>
      <c r="AI493" s="36"/>
      <c r="AK493" s="36"/>
      <c r="AL493" s="36"/>
    </row>
    <row r="494" customFormat="false" ht="15" hidden="false" customHeight="false" outlineLevel="0" collapsed="false">
      <c r="AG494" s="36"/>
      <c r="AH494" s="36"/>
      <c r="AI494" s="36"/>
      <c r="AK494" s="36"/>
      <c r="AL494" s="36"/>
    </row>
    <row r="495" customFormat="false" ht="15" hidden="false" customHeight="false" outlineLevel="0" collapsed="false">
      <c r="AG495" s="36"/>
      <c r="AH495" s="36"/>
      <c r="AI495" s="36"/>
      <c r="AK495" s="36"/>
      <c r="AL495" s="36"/>
    </row>
    <row r="496" customFormat="false" ht="15" hidden="false" customHeight="false" outlineLevel="0" collapsed="false">
      <c r="AG496" s="36"/>
      <c r="AH496" s="36"/>
      <c r="AI496" s="36"/>
      <c r="AK496" s="36"/>
      <c r="AL496" s="36"/>
    </row>
    <row r="497" customFormat="false" ht="15" hidden="false" customHeight="false" outlineLevel="0" collapsed="false">
      <c r="AG497" s="36"/>
      <c r="AH497" s="36"/>
      <c r="AI497" s="36"/>
      <c r="AK497" s="36"/>
      <c r="AL497" s="36"/>
    </row>
    <row r="498" customFormat="false" ht="15" hidden="false" customHeight="false" outlineLevel="0" collapsed="false">
      <c r="AG498" s="36"/>
      <c r="AH498" s="36"/>
      <c r="AI498" s="36"/>
      <c r="AK498" s="36"/>
      <c r="AL498" s="36"/>
    </row>
    <row r="499" customFormat="false" ht="15" hidden="false" customHeight="false" outlineLevel="0" collapsed="false">
      <c r="AG499" s="36"/>
      <c r="AH499" s="36"/>
      <c r="AI499" s="36"/>
      <c r="AK499" s="36"/>
      <c r="AL499" s="36"/>
    </row>
    <row r="500" customFormat="false" ht="15" hidden="false" customHeight="false" outlineLevel="0" collapsed="false">
      <c r="AG500" s="36"/>
      <c r="AH500" s="36"/>
      <c r="AI500" s="36"/>
      <c r="AK500" s="36"/>
      <c r="AL500" s="36"/>
    </row>
    <row r="501" customFormat="false" ht="15" hidden="false" customHeight="false" outlineLevel="0" collapsed="false">
      <c r="AG501" s="36"/>
      <c r="AH501" s="36"/>
      <c r="AI501" s="36"/>
      <c r="AK501" s="36"/>
      <c r="AL501" s="36"/>
    </row>
    <row r="502" customFormat="false" ht="15" hidden="false" customHeight="false" outlineLevel="0" collapsed="false">
      <c r="AG502" s="36"/>
      <c r="AH502" s="36"/>
      <c r="AI502" s="36"/>
      <c r="AK502" s="36"/>
      <c r="AL502" s="36"/>
    </row>
    <row r="503" customFormat="false" ht="15" hidden="false" customHeight="false" outlineLevel="0" collapsed="false">
      <c r="AG503" s="36"/>
      <c r="AH503" s="36"/>
      <c r="AI503" s="36"/>
      <c r="AK503" s="36"/>
      <c r="AL503" s="36"/>
    </row>
    <row r="504" customFormat="false" ht="15" hidden="false" customHeight="false" outlineLevel="0" collapsed="false">
      <c r="AG504" s="36"/>
      <c r="AH504" s="36"/>
      <c r="AI504" s="36"/>
      <c r="AK504" s="36"/>
      <c r="AL504" s="36"/>
    </row>
    <row r="505" customFormat="false" ht="15" hidden="false" customHeight="false" outlineLevel="0" collapsed="false">
      <c r="AG505" s="36"/>
      <c r="AH505" s="36"/>
      <c r="AI505" s="36"/>
      <c r="AK505" s="36"/>
      <c r="AL505" s="36"/>
    </row>
    <row r="506" customFormat="false" ht="15" hidden="false" customHeight="false" outlineLevel="0" collapsed="false">
      <c r="AG506" s="36"/>
      <c r="AH506" s="36"/>
      <c r="AI506" s="36"/>
      <c r="AK506" s="36"/>
      <c r="AL506" s="36"/>
    </row>
    <row r="507" customFormat="false" ht="15" hidden="false" customHeight="false" outlineLevel="0" collapsed="false">
      <c r="AG507" s="36"/>
      <c r="AH507" s="36"/>
      <c r="AI507" s="36"/>
      <c r="AK507" s="36"/>
      <c r="AL507" s="36"/>
    </row>
    <row r="508" customFormat="false" ht="15" hidden="false" customHeight="false" outlineLevel="0" collapsed="false">
      <c r="AG508" s="36"/>
      <c r="AH508" s="36"/>
      <c r="AI508" s="36"/>
      <c r="AK508" s="36"/>
      <c r="AL508" s="36"/>
    </row>
    <row r="509" customFormat="false" ht="15" hidden="false" customHeight="false" outlineLevel="0" collapsed="false">
      <c r="AG509" s="36"/>
      <c r="AH509" s="36"/>
      <c r="AI509" s="36"/>
      <c r="AK509" s="36"/>
      <c r="AL509" s="36"/>
    </row>
    <row r="510" customFormat="false" ht="15" hidden="false" customHeight="false" outlineLevel="0" collapsed="false">
      <c r="AG510" s="36"/>
      <c r="AH510" s="36"/>
      <c r="AI510" s="36"/>
      <c r="AK510" s="36"/>
      <c r="AL510" s="36"/>
    </row>
    <row r="511" customFormat="false" ht="15" hidden="false" customHeight="false" outlineLevel="0" collapsed="false">
      <c r="AG511" s="36"/>
      <c r="AH511" s="36"/>
      <c r="AI511" s="36"/>
      <c r="AK511" s="36"/>
      <c r="AL511" s="36"/>
    </row>
    <row r="512" customFormat="false" ht="15" hidden="false" customHeight="false" outlineLevel="0" collapsed="false">
      <c r="AG512" s="36"/>
      <c r="AH512" s="36"/>
      <c r="AI512" s="36"/>
      <c r="AK512" s="36"/>
      <c r="AL512" s="36"/>
    </row>
    <row r="513" customFormat="false" ht="15" hidden="false" customHeight="false" outlineLevel="0" collapsed="false">
      <c r="AG513" s="36"/>
      <c r="AH513" s="36"/>
      <c r="AI513" s="36"/>
      <c r="AK513" s="36"/>
      <c r="AL513" s="36"/>
    </row>
    <row r="514" customFormat="false" ht="15" hidden="false" customHeight="false" outlineLevel="0" collapsed="false">
      <c r="AG514" s="36"/>
      <c r="AH514" s="36"/>
      <c r="AI514" s="36"/>
      <c r="AK514" s="36"/>
      <c r="AL514" s="36"/>
    </row>
    <row r="515" customFormat="false" ht="15" hidden="false" customHeight="false" outlineLevel="0" collapsed="false">
      <c r="AG515" s="36"/>
      <c r="AH515" s="36"/>
      <c r="AI515" s="36"/>
      <c r="AK515" s="36"/>
      <c r="AL515" s="36"/>
    </row>
    <row r="516" customFormat="false" ht="15" hidden="false" customHeight="false" outlineLevel="0" collapsed="false">
      <c r="AG516" s="36"/>
      <c r="AH516" s="36"/>
      <c r="AI516" s="36"/>
      <c r="AK516" s="36"/>
      <c r="AL516" s="36"/>
    </row>
    <row r="517" customFormat="false" ht="15" hidden="false" customHeight="false" outlineLevel="0" collapsed="false">
      <c r="AG517" s="36"/>
      <c r="AH517" s="36"/>
      <c r="AI517" s="36"/>
      <c r="AK517" s="36"/>
      <c r="AL517" s="36"/>
    </row>
    <row r="518" customFormat="false" ht="15" hidden="false" customHeight="false" outlineLevel="0" collapsed="false">
      <c r="AG518" s="36"/>
      <c r="AH518" s="36"/>
      <c r="AI518" s="36"/>
      <c r="AK518" s="36"/>
      <c r="AL518" s="36"/>
    </row>
    <row r="519" customFormat="false" ht="15" hidden="false" customHeight="false" outlineLevel="0" collapsed="false">
      <c r="AG519" s="36"/>
      <c r="AH519" s="36"/>
      <c r="AI519" s="36"/>
      <c r="AK519" s="36"/>
      <c r="AL519" s="36"/>
    </row>
    <row r="520" customFormat="false" ht="15" hidden="false" customHeight="false" outlineLevel="0" collapsed="false">
      <c r="AG520" s="36"/>
      <c r="AH520" s="36"/>
      <c r="AI520" s="36"/>
      <c r="AK520" s="36"/>
      <c r="AL520" s="36"/>
    </row>
    <row r="521" customFormat="false" ht="15" hidden="false" customHeight="false" outlineLevel="0" collapsed="false">
      <c r="AG521" s="36"/>
      <c r="AH521" s="36"/>
      <c r="AI521" s="36"/>
      <c r="AK521" s="36"/>
      <c r="AL521" s="36"/>
    </row>
    <row r="522" customFormat="false" ht="15" hidden="false" customHeight="false" outlineLevel="0" collapsed="false">
      <c r="AG522" s="36"/>
      <c r="AH522" s="36"/>
      <c r="AI522" s="36"/>
      <c r="AK522" s="36"/>
      <c r="AL522" s="36"/>
    </row>
    <row r="523" customFormat="false" ht="15" hidden="false" customHeight="false" outlineLevel="0" collapsed="false">
      <c r="AG523" s="36"/>
      <c r="AH523" s="36"/>
      <c r="AI523" s="36"/>
      <c r="AK523" s="36"/>
      <c r="AL523" s="36"/>
    </row>
    <row r="524" customFormat="false" ht="15" hidden="false" customHeight="false" outlineLevel="0" collapsed="false">
      <c r="AG524" s="36"/>
      <c r="AH524" s="36"/>
      <c r="AI524" s="36"/>
      <c r="AK524" s="36"/>
      <c r="AL524" s="36"/>
    </row>
    <row r="525" customFormat="false" ht="15" hidden="false" customHeight="false" outlineLevel="0" collapsed="false">
      <c r="AG525" s="36"/>
      <c r="AH525" s="36"/>
      <c r="AI525" s="36"/>
      <c r="AK525" s="36"/>
      <c r="AL525" s="36"/>
    </row>
    <row r="526" customFormat="false" ht="15" hidden="false" customHeight="false" outlineLevel="0" collapsed="false">
      <c r="AG526" s="36"/>
      <c r="AH526" s="36"/>
      <c r="AI526" s="36"/>
      <c r="AK526" s="36"/>
      <c r="AL526" s="36"/>
    </row>
    <row r="527" customFormat="false" ht="15" hidden="false" customHeight="false" outlineLevel="0" collapsed="false">
      <c r="AG527" s="36"/>
      <c r="AH527" s="36"/>
      <c r="AI527" s="36"/>
      <c r="AK527" s="36"/>
      <c r="AL527" s="36"/>
    </row>
    <row r="528" customFormat="false" ht="15" hidden="false" customHeight="false" outlineLevel="0" collapsed="false">
      <c r="AG528" s="36"/>
      <c r="AH528" s="36"/>
      <c r="AI528" s="36"/>
      <c r="AK528" s="36"/>
      <c r="AL528" s="36"/>
    </row>
    <row r="529" customFormat="false" ht="15" hidden="false" customHeight="false" outlineLevel="0" collapsed="false">
      <c r="AG529" s="36"/>
      <c r="AH529" s="36"/>
      <c r="AI529" s="36"/>
      <c r="AK529" s="36"/>
      <c r="AL529" s="36"/>
    </row>
    <row r="530" customFormat="false" ht="15" hidden="false" customHeight="false" outlineLevel="0" collapsed="false">
      <c r="AG530" s="36"/>
      <c r="AH530" s="36"/>
      <c r="AI530" s="36"/>
      <c r="AK530" s="36"/>
      <c r="AL530" s="36"/>
    </row>
    <row r="531" customFormat="false" ht="15" hidden="false" customHeight="false" outlineLevel="0" collapsed="false">
      <c r="AG531" s="36"/>
      <c r="AH531" s="36"/>
      <c r="AI531" s="36"/>
      <c r="AK531" s="36"/>
      <c r="AL531" s="36"/>
    </row>
    <row r="532" customFormat="false" ht="15" hidden="false" customHeight="false" outlineLevel="0" collapsed="false">
      <c r="AG532" s="36"/>
      <c r="AH532" s="36"/>
      <c r="AI532" s="36"/>
      <c r="AK532" s="36"/>
      <c r="AL532" s="36"/>
    </row>
    <row r="533" customFormat="false" ht="15" hidden="false" customHeight="false" outlineLevel="0" collapsed="false">
      <c r="AG533" s="36"/>
      <c r="AH533" s="36"/>
      <c r="AI533" s="36"/>
      <c r="AK533" s="36"/>
      <c r="AL533" s="36"/>
    </row>
    <row r="534" customFormat="false" ht="15" hidden="false" customHeight="false" outlineLevel="0" collapsed="false">
      <c r="AG534" s="36"/>
      <c r="AH534" s="36"/>
      <c r="AI534" s="36"/>
      <c r="AK534" s="36"/>
      <c r="AL534" s="36"/>
    </row>
    <row r="535" customFormat="false" ht="15" hidden="false" customHeight="false" outlineLevel="0" collapsed="false">
      <c r="AG535" s="36"/>
      <c r="AH535" s="36"/>
      <c r="AI535" s="36"/>
      <c r="AK535" s="36"/>
      <c r="AL535" s="36"/>
    </row>
    <row r="536" customFormat="false" ht="15" hidden="false" customHeight="false" outlineLevel="0" collapsed="false">
      <c r="AG536" s="36"/>
      <c r="AH536" s="36"/>
      <c r="AI536" s="36"/>
      <c r="AK536" s="36"/>
      <c r="AL536" s="36"/>
    </row>
    <row r="537" customFormat="false" ht="15" hidden="false" customHeight="false" outlineLevel="0" collapsed="false">
      <c r="AG537" s="36"/>
      <c r="AH537" s="36"/>
      <c r="AI537" s="36"/>
      <c r="AK537" s="36"/>
      <c r="AL537" s="36"/>
    </row>
    <row r="538" customFormat="false" ht="15" hidden="false" customHeight="false" outlineLevel="0" collapsed="false">
      <c r="AG538" s="36"/>
      <c r="AH538" s="36"/>
      <c r="AI538" s="36"/>
      <c r="AK538" s="36"/>
      <c r="AL538" s="36"/>
    </row>
    <row r="539" customFormat="false" ht="15" hidden="false" customHeight="false" outlineLevel="0" collapsed="false">
      <c r="AG539" s="36"/>
      <c r="AH539" s="36"/>
      <c r="AI539" s="36"/>
      <c r="AK539" s="36"/>
      <c r="AL539" s="36"/>
    </row>
    <row r="540" customFormat="false" ht="15" hidden="false" customHeight="false" outlineLevel="0" collapsed="false">
      <c r="AG540" s="36"/>
      <c r="AH540" s="36"/>
      <c r="AI540" s="36"/>
      <c r="AK540" s="36"/>
      <c r="AL540" s="36"/>
    </row>
    <row r="541" customFormat="false" ht="15" hidden="false" customHeight="false" outlineLevel="0" collapsed="false">
      <c r="AG541" s="36"/>
      <c r="AH541" s="36"/>
      <c r="AI541" s="36"/>
      <c r="AK541" s="36"/>
      <c r="AL541" s="36"/>
    </row>
    <row r="542" customFormat="false" ht="15" hidden="false" customHeight="false" outlineLevel="0" collapsed="false">
      <c r="AG542" s="36"/>
      <c r="AH542" s="36"/>
      <c r="AI542" s="36"/>
      <c r="AK542" s="36"/>
      <c r="AL542" s="36"/>
    </row>
    <row r="543" customFormat="false" ht="15" hidden="false" customHeight="false" outlineLevel="0" collapsed="false">
      <c r="AG543" s="36"/>
      <c r="AH543" s="36"/>
      <c r="AI543" s="36"/>
      <c r="AK543" s="36"/>
      <c r="AL543" s="36"/>
    </row>
    <row r="544" customFormat="false" ht="15" hidden="false" customHeight="false" outlineLevel="0" collapsed="false">
      <c r="AG544" s="36"/>
      <c r="AH544" s="36"/>
      <c r="AI544" s="36"/>
      <c r="AK544" s="36"/>
      <c r="AL544" s="36"/>
    </row>
    <row r="545" customFormat="false" ht="15" hidden="false" customHeight="false" outlineLevel="0" collapsed="false">
      <c r="AG545" s="36"/>
      <c r="AH545" s="36"/>
      <c r="AI545" s="36"/>
      <c r="AK545" s="36"/>
      <c r="AL545" s="36"/>
    </row>
    <row r="546" customFormat="false" ht="15" hidden="false" customHeight="false" outlineLevel="0" collapsed="false">
      <c r="AG546" s="36"/>
      <c r="AH546" s="36"/>
      <c r="AI546" s="36"/>
      <c r="AK546" s="36"/>
      <c r="AL546" s="36"/>
    </row>
    <row r="547" customFormat="false" ht="15" hidden="false" customHeight="false" outlineLevel="0" collapsed="false">
      <c r="AG547" s="36"/>
      <c r="AH547" s="36"/>
      <c r="AI547" s="36"/>
      <c r="AK547" s="36"/>
      <c r="AL547" s="36"/>
    </row>
    <row r="548" customFormat="false" ht="15" hidden="false" customHeight="false" outlineLevel="0" collapsed="false">
      <c r="AG548" s="36"/>
      <c r="AH548" s="36"/>
      <c r="AI548" s="36"/>
      <c r="AK548" s="36"/>
      <c r="AL548" s="36"/>
    </row>
    <row r="549" customFormat="false" ht="15" hidden="false" customHeight="false" outlineLevel="0" collapsed="false">
      <c r="AG549" s="36"/>
      <c r="AH549" s="36"/>
      <c r="AI549" s="36"/>
      <c r="AK549" s="36"/>
      <c r="AL549" s="36"/>
    </row>
    <row r="550" customFormat="false" ht="15" hidden="false" customHeight="false" outlineLevel="0" collapsed="false">
      <c r="AG550" s="36"/>
      <c r="AH550" s="36"/>
      <c r="AI550" s="36"/>
      <c r="AK550" s="36"/>
      <c r="AL550" s="36"/>
    </row>
    <row r="551" customFormat="false" ht="15" hidden="false" customHeight="false" outlineLevel="0" collapsed="false">
      <c r="AG551" s="36"/>
      <c r="AH551" s="36"/>
      <c r="AI551" s="36"/>
      <c r="AK551" s="36"/>
      <c r="AL551" s="36"/>
    </row>
    <row r="552" customFormat="false" ht="15" hidden="false" customHeight="false" outlineLevel="0" collapsed="false">
      <c r="AG552" s="36"/>
      <c r="AH552" s="36"/>
      <c r="AI552" s="36"/>
      <c r="AK552" s="36"/>
      <c r="AL552" s="36"/>
    </row>
    <row r="553" customFormat="false" ht="15" hidden="false" customHeight="false" outlineLevel="0" collapsed="false">
      <c r="AG553" s="36"/>
      <c r="AH553" s="36"/>
      <c r="AI553" s="36"/>
      <c r="AK553" s="36"/>
      <c r="AL553" s="36"/>
    </row>
    <row r="554" customFormat="false" ht="15" hidden="false" customHeight="false" outlineLevel="0" collapsed="false">
      <c r="AG554" s="36"/>
      <c r="AH554" s="36"/>
      <c r="AI554" s="36"/>
      <c r="AK554" s="36"/>
      <c r="AL554" s="36"/>
    </row>
    <row r="555" customFormat="false" ht="15" hidden="false" customHeight="false" outlineLevel="0" collapsed="false">
      <c r="AG555" s="36"/>
      <c r="AH555" s="36"/>
      <c r="AI555" s="36"/>
      <c r="AK555" s="36"/>
      <c r="AL555" s="36"/>
    </row>
    <row r="556" customFormat="false" ht="15" hidden="false" customHeight="false" outlineLevel="0" collapsed="false">
      <c r="AG556" s="36"/>
      <c r="AH556" s="36"/>
      <c r="AI556" s="36"/>
      <c r="AK556" s="36"/>
      <c r="AL556" s="36"/>
    </row>
    <row r="557" customFormat="false" ht="15" hidden="false" customHeight="false" outlineLevel="0" collapsed="false">
      <c r="AG557" s="36"/>
      <c r="AH557" s="36"/>
      <c r="AI557" s="36"/>
      <c r="AK557" s="36"/>
      <c r="AL557" s="36"/>
    </row>
    <row r="558" customFormat="false" ht="15" hidden="false" customHeight="false" outlineLevel="0" collapsed="false">
      <c r="AG558" s="36"/>
      <c r="AH558" s="36"/>
      <c r="AI558" s="36"/>
      <c r="AK558" s="36"/>
      <c r="AL558" s="36"/>
    </row>
    <row r="559" customFormat="false" ht="15" hidden="false" customHeight="false" outlineLevel="0" collapsed="false">
      <c r="AG559" s="36"/>
      <c r="AH559" s="36"/>
      <c r="AI559" s="36"/>
      <c r="AK559" s="36"/>
      <c r="AL559" s="36"/>
    </row>
    <row r="560" customFormat="false" ht="15" hidden="false" customHeight="false" outlineLevel="0" collapsed="false">
      <c r="AG560" s="36"/>
      <c r="AH560" s="36"/>
      <c r="AI560" s="36"/>
      <c r="AK560" s="36"/>
      <c r="AL560" s="36"/>
    </row>
    <row r="561" customFormat="false" ht="15" hidden="false" customHeight="false" outlineLevel="0" collapsed="false">
      <c r="AG561" s="36"/>
      <c r="AH561" s="36"/>
      <c r="AI561" s="36"/>
      <c r="AK561" s="36"/>
      <c r="AL561" s="36"/>
    </row>
    <row r="562" customFormat="false" ht="15" hidden="false" customHeight="false" outlineLevel="0" collapsed="false">
      <c r="AG562" s="36"/>
      <c r="AH562" s="36"/>
      <c r="AI562" s="36"/>
      <c r="AK562" s="36"/>
      <c r="AL562" s="36"/>
    </row>
    <row r="563" customFormat="false" ht="15" hidden="false" customHeight="false" outlineLevel="0" collapsed="false">
      <c r="AG563" s="36"/>
      <c r="AH563" s="36"/>
      <c r="AI563" s="36"/>
      <c r="AK563" s="36"/>
      <c r="AL563" s="36"/>
    </row>
    <row r="564" customFormat="false" ht="15" hidden="false" customHeight="false" outlineLevel="0" collapsed="false">
      <c r="AG564" s="36"/>
      <c r="AH564" s="36"/>
      <c r="AI564" s="36"/>
      <c r="AK564" s="36"/>
      <c r="AL564" s="36"/>
    </row>
    <row r="565" customFormat="false" ht="15" hidden="false" customHeight="false" outlineLevel="0" collapsed="false">
      <c r="AG565" s="36"/>
      <c r="AH565" s="36"/>
      <c r="AI565" s="36"/>
      <c r="AK565" s="36"/>
      <c r="AL565" s="36"/>
    </row>
    <row r="566" customFormat="false" ht="15" hidden="false" customHeight="false" outlineLevel="0" collapsed="false">
      <c r="AG566" s="36"/>
      <c r="AH566" s="36"/>
      <c r="AI566" s="36"/>
      <c r="AK566" s="36"/>
      <c r="AL566" s="36"/>
    </row>
    <row r="567" customFormat="false" ht="15" hidden="false" customHeight="false" outlineLevel="0" collapsed="false">
      <c r="AG567" s="36"/>
      <c r="AH567" s="36"/>
      <c r="AI567" s="36"/>
      <c r="AK567" s="36"/>
      <c r="AL567" s="36"/>
    </row>
    <row r="568" customFormat="false" ht="15" hidden="false" customHeight="false" outlineLevel="0" collapsed="false">
      <c r="AG568" s="36"/>
      <c r="AH568" s="36"/>
      <c r="AI568" s="36"/>
      <c r="AK568" s="36"/>
      <c r="AL568" s="36"/>
    </row>
    <row r="569" customFormat="false" ht="15" hidden="false" customHeight="false" outlineLevel="0" collapsed="false">
      <c r="AG569" s="36"/>
      <c r="AH569" s="36"/>
      <c r="AI569" s="36"/>
      <c r="AK569" s="36"/>
      <c r="AL569" s="36"/>
    </row>
    <row r="570" customFormat="false" ht="15" hidden="false" customHeight="false" outlineLevel="0" collapsed="false">
      <c r="AG570" s="36"/>
      <c r="AH570" s="36"/>
      <c r="AI570" s="36"/>
      <c r="AK570" s="36"/>
      <c r="AL570" s="36"/>
    </row>
    <row r="571" customFormat="false" ht="15" hidden="false" customHeight="false" outlineLevel="0" collapsed="false">
      <c r="AG571" s="36"/>
      <c r="AH571" s="36"/>
      <c r="AI571" s="36"/>
      <c r="AK571" s="36"/>
      <c r="AL571" s="36"/>
    </row>
    <row r="572" customFormat="false" ht="15" hidden="false" customHeight="false" outlineLevel="0" collapsed="false">
      <c r="AG572" s="36"/>
      <c r="AH572" s="36"/>
      <c r="AI572" s="36"/>
      <c r="AK572" s="36"/>
      <c r="AL572" s="36"/>
    </row>
    <row r="573" customFormat="false" ht="15" hidden="false" customHeight="false" outlineLevel="0" collapsed="false">
      <c r="AG573" s="36"/>
      <c r="AH573" s="36"/>
      <c r="AI573" s="36"/>
      <c r="AK573" s="36"/>
      <c r="AL573" s="36"/>
    </row>
    <row r="574" customFormat="false" ht="15" hidden="false" customHeight="false" outlineLevel="0" collapsed="false">
      <c r="AG574" s="36"/>
      <c r="AH574" s="36"/>
      <c r="AI574" s="36"/>
      <c r="AK574" s="36"/>
      <c r="AL574" s="36"/>
    </row>
    <row r="575" customFormat="false" ht="15" hidden="false" customHeight="false" outlineLevel="0" collapsed="false">
      <c r="AG575" s="36"/>
      <c r="AH575" s="36"/>
      <c r="AI575" s="36"/>
      <c r="AK575" s="36"/>
      <c r="AL575" s="36"/>
    </row>
    <row r="576" customFormat="false" ht="15" hidden="false" customHeight="false" outlineLevel="0" collapsed="false">
      <c r="AG576" s="36"/>
      <c r="AH576" s="36"/>
      <c r="AI576" s="36"/>
      <c r="AK576" s="36"/>
      <c r="AL576" s="36"/>
    </row>
    <row r="577" customFormat="false" ht="15" hidden="false" customHeight="false" outlineLevel="0" collapsed="false">
      <c r="AG577" s="36"/>
      <c r="AH577" s="36"/>
      <c r="AI577" s="36"/>
      <c r="AK577" s="36"/>
      <c r="AL577" s="36"/>
    </row>
    <row r="578" customFormat="false" ht="15" hidden="false" customHeight="false" outlineLevel="0" collapsed="false">
      <c r="AG578" s="36"/>
      <c r="AH578" s="36"/>
      <c r="AI578" s="36"/>
      <c r="AK578" s="36"/>
      <c r="AL578" s="36"/>
    </row>
    <row r="579" customFormat="false" ht="15" hidden="false" customHeight="false" outlineLevel="0" collapsed="false">
      <c r="AG579" s="36"/>
      <c r="AH579" s="36"/>
      <c r="AI579" s="36"/>
      <c r="AK579" s="36"/>
      <c r="AL579" s="36"/>
    </row>
    <row r="580" customFormat="false" ht="15" hidden="false" customHeight="false" outlineLevel="0" collapsed="false">
      <c r="AG580" s="36"/>
      <c r="AH580" s="36"/>
      <c r="AI580" s="36"/>
      <c r="AK580" s="36"/>
      <c r="AL580" s="36"/>
    </row>
    <row r="581" customFormat="false" ht="15" hidden="false" customHeight="false" outlineLevel="0" collapsed="false">
      <c r="AG581" s="36"/>
      <c r="AH581" s="36"/>
      <c r="AI581" s="36"/>
      <c r="AK581" s="36"/>
      <c r="AL581" s="36"/>
    </row>
    <row r="582" customFormat="false" ht="15" hidden="false" customHeight="false" outlineLevel="0" collapsed="false">
      <c r="AG582" s="36"/>
      <c r="AH582" s="36"/>
      <c r="AI582" s="36"/>
      <c r="AK582" s="36"/>
      <c r="AL582" s="36"/>
    </row>
    <row r="583" customFormat="false" ht="15" hidden="false" customHeight="false" outlineLevel="0" collapsed="false">
      <c r="AG583" s="36"/>
      <c r="AH583" s="36"/>
      <c r="AI583" s="36"/>
      <c r="AK583" s="36"/>
      <c r="AL583" s="36"/>
    </row>
    <row r="584" customFormat="false" ht="15" hidden="false" customHeight="false" outlineLevel="0" collapsed="false">
      <c r="AG584" s="36"/>
      <c r="AH584" s="36"/>
      <c r="AI584" s="36"/>
      <c r="AK584" s="36"/>
      <c r="AL584" s="36"/>
    </row>
    <row r="585" customFormat="false" ht="15" hidden="false" customHeight="false" outlineLevel="0" collapsed="false">
      <c r="AG585" s="36"/>
      <c r="AH585" s="36"/>
      <c r="AI585" s="36"/>
      <c r="AK585" s="36"/>
      <c r="AL585" s="36"/>
    </row>
    <row r="586" customFormat="false" ht="15" hidden="false" customHeight="false" outlineLevel="0" collapsed="false">
      <c r="AG586" s="36"/>
      <c r="AH586" s="36"/>
      <c r="AI586" s="36"/>
      <c r="AK586" s="36"/>
      <c r="AL586" s="36"/>
    </row>
    <row r="587" customFormat="false" ht="15" hidden="false" customHeight="false" outlineLevel="0" collapsed="false">
      <c r="AG587" s="36"/>
      <c r="AH587" s="36"/>
      <c r="AI587" s="36"/>
      <c r="AK587" s="36"/>
      <c r="AL587" s="36"/>
    </row>
    <row r="588" customFormat="false" ht="15" hidden="false" customHeight="false" outlineLevel="0" collapsed="false">
      <c r="AG588" s="36"/>
      <c r="AH588" s="36"/>
      <c r="AI588" s="36"/>
      <c r="AK588" s="36"/>
      <c r="AL588" s="36"/>
    </row>
    <row r="589" customFormat="false" ht="15" hidden="false" customHeight="false" outlineLevel="0" collapsed="false">
      <c r="AG589" s="36"/>
      <c r="AH589" s="36"/>
      <c r="AI589" s="36"/>
      <c r="AK589" s="36"/>
      <c r="AL589" s="36"/>
    </row>
    <row r="590" customFormat="false" ht="15" hidden="false" customHeight="false" outlineLevel="0" collapsed="false">
      <c r="AG590" s="36"/>
      <c r="AH590" s="36"/>
      <c r="AI590" s="36"/>
      <c r="AK590" s="36"/>
      <c r="AL590" s="36"/>
    </row>
    <row r="591" customFormat="false" ht="15" hidden="false" customHeight="false" outlineLevel="0" collapsed="false">
      <c r="AG591" s="36"/>
      <c r="AH591" s="36"/>
      <c r="AI591" s="36"/>
      <c r="AK591" s="36"/>
      <c r="AL591" s="36"/>
    </row>
    <row r="592" customFormat="false" ht="15" hidden="false" customHeight="false" outlineLevel="0" collapsed="false">
      <c r="AG592" s="36"/>
      <c r="AH592" s="36"/>
      <c r="AI592" s="36"/>
      <c r="AK592" s="36"/>
      <c r="AL592" s="36"/>
    </row>
    <row r="593" customFormat="false" ht="15" hidden="false" customHeight="false" outlineLevel="0" collapsed="false">
      <c r="AG593" s="36"/>
      <c r="AH593" s="36"/>
      <c r="AI593" s="36"/>
      <c r="AK593" s="36"/>
      <c r="AL593" s="36"/>
    </row>
    <row r="594" customFormat="false" ht="15" hidden="false" customHeight="false" outlineLevel="0" collapsed="false">
      <c r="AG594" s="36"/>
      <c r="AH594" s="36"/>
      <c r="AI594" s="36"/>
      <c r="AK594" s="36"/>
      <c r="AL594" s="36"/>
    </row>
    <row r="595" customFormat="false" ht="15" hidden="false" customHeight="false" outlineLevel="0" collapsed="false">
      <c r="AG595" s="36"/>
      <c r="AH595" s="36"/>
      <c r="AI595" s="36"/>
      <c r="AK595" s="36"/>
      <c r="AL595" s="36"/>
    </row>
    <row r="596" customFormat="false" ht="15" hidden="false" customHeight="false" outlineLevel="0" collapsed="false">
      <c r="AG596" s="36"/>
      <c r="AH596" s="36"/>
      <c r="AI596" s="36"/>
      <c r="AK596" s="36"/>
      <c r="AL596" s="36"/>
    </row>
    <row r="597" customFormat="false" ht="15" hidden="false" customHeight="false" outlineLevel="0" collapsed="false">
      <c r="AG597" s="36"/>
      <c r="AH597" s="36"/>
      <c r="AI597" s="36"/>
      <c r="AK597" s="36"/>
      <c r="AL597" s="36"/>
    </row>
    <row r="598" customFormat="false" ht="15" hidden="false" customHeight="false" outlineLevel="0" collapsed="false">
      <c r="AG598" s="36"/>
      <c r="AH598" s="36"/>
      <c r="AI598" s="36"/>
      <c r="AK598" s="36"/>
      <c r="AL598" s="36"/>
    </row>
    <row r="599" customFormat="false" ht="15" hidden="false" customHeight="false" outlineLevel="0" collapsed="false">
      <c r="AG599" s="36"/>
      <c r="AH599" s="36"/>
      <c r="AI599" s="36"/>
      <c r="AK599" s="36"/>
      <c r="AL599" s="36"/>
    </row>
    <row r="600" customFormat="false" ht="15" hidden="false" customHeight="false" outlineLevel="0" collapsed="false">
      <c r="AG600" s="36"/>
      <c r="AH600" s="36"/>
      <c r="AI600" s="36"/>
      <c r="AK600" s="36"/>
      <c r="AL600" s="36"/>
    </row>
    <row r="601" customFormat="false" ht="15" hidden="false" customHeight="false" outlineLevel="0" collapsed="false">
      <c r="AG601" s="36"/>
      <c r="AH601" s="36"/>
      <c r="AI601" s="36"/>
      <c r="AK601" s="36"/>
      <c r="AL601" s="36"/>
    </row>
    <row r="602" customFormat="false" ht="15" hidden="false" customHeight="false" outlineLevel="0" collapsed="false">
      <c r="AG602" s="36"/>
      <c r="AH602" s="36"/>
      <c r="AI602" s="36"/>
      <c r="AK602" s="36"/>
      <c r="AL602" s="36"/>
    </row>
    <row r="603" customFormat="false" ht="15" hidden="false" customHeight="false" outlineLevel="0" collapsed="false">
      <c r="AG603" s="36"/>
      <c r="AH603" s="36"/>
      <c r="AI603" s="36"/>
      <c r="AK603" s="36"/>
      <c r="AL603" s="36"/>
    </row>
    <row r="604" customFormat="false" ht="15" hidden="false" customHeight="false" outlineLevel="0" collapsed="false">
      <c r="AG604" s="36"/>
      <c r="AH604" s="36"/>
      <c r="AI604" s="36"/>
      <c r="AK604" s="36"/>
      <c r="AL604" s="36"/>
    </row>
    <row r="605" customFormat="false" ht="15" hidden="false" customHeight="false" outlineLevel="0" collapsed="false">
      <c r="AG605" s="36"/>
      <c r="AH605" s="36"/>
      <c r="AI605" s="36"/>
      <c r="AK605" s="36"/>
      <c r="AL605" s="36"/>
    </row>
    <row r="606" customFormat="false" ht="15" hidden="false" customHeight="false" outlineLevel="0" collapsed="false">
      <c r="AG606" s="36"/>
      <c r="AH606" s="36"/>
      <c r="AI606" s="36"/>
      <c r="AK606" s="36"/>
      <c r="AL606" s="36"/>
    </row>
    <row r="607" customFormat="false" ht="15" hidden="false" customHeight="false" outlineLevel="0" collapsed="false">
      <c r="AG607" s="36"/>
      <c r="AH607" s="36"/>
      <c r="AI607" s="36"/>
      <c r="AK607" s="36"/>
      <c r="AL607" s="36"/>
    </row>
    <row r="608" customFormat="false" ht="15" hidden="false" customHeight="false" outlineLevel="0" collapsed="false">
      <c r="AG608" s="36"/>
      <c r="AH608" s="36"/>
      <c r="AI608" s="36"/>
      <c r="AK608" s="36"/>
      <c r="AL608" s="36"/>
    </row>
    <row r="609" customFormat="false" ht="15" hidden="false" customHeight="false" outlineLevel="0" collapsed="false">
      <c r="AG609" s="36"/>
      <c r="AH609" s="36"/>
      <c r="AI609" s="36"/>
      <c r="AK609" s="36"/>
      <c r="AL609" s="36"/>
    </row>
    <row r="610" customFormat="false" ht="15" hidden="false" customHeight="false" outlineLevel="0" collapsed="false">
      <c r="AG610" s="36"/>
      <c r="AH610" s="36"/>
      <c r="AI610" s="36"/>
      <c r="AK610" s="36"/>
      <c r="AL610" s="36"/>
    </row>
    <row r="611" customFormat="false" ht="15" hidden="false" customHeight="false" outlineLevel="0" collapsed="false">
      <c r="AG611" s="36"/>
      <c r="AH611" s="36"/>
      <c r="AI611" s="36"/>
      <c r="AK611" s="36"/>
      <c r="AL611" s="36"/>
    </row>
    <row r="612" customFormat="false" ht="15" hidden="false" customHeight="false" outlineLevel="0" collapsed="false">
      <c r="AG612" s="36"/>
      <c r="AH612" s="36"/>
      <c r="AI612" s="36"/>
      <c r="AK612" s="36"/>
      <c r="AL612" s="36"/>
    </row>
    <row r="613" customFormat="false" ht="15" hidden="false" customHeight="false" outlineLevel="0" collapsed="false">
      <c r="AG613" s="36"/>
      <c r="AH613" s="36"/>
      <c r="AI613" s="36"/>
      <c r="AK613" s="36"/>
      <c r="AL613" s="36"/>
    </row>
    <row r="614" customFormat="false" ht="15" hidden="false" customHeight="false" outlineLevel="0" collapsed="false">
      <c r="AG614" s="36"/>
      <c r="AH614" s="36"/>
      <c r="AI614" s="36"/>
      <c r="AK614" s="36"/>
      <c r="AL614" s="36"/>
    </row>
    <row r="615" customFormat="false" ht="15" hidden="false" customHeight="false" outlineLevel="0" collapsed="false">
      <c r="AG615" s="36"/>
      <c r="AH615" s="36"/>
      <c r="AI615" s="36"/>
      <c r="AK615" s="36"/>
      <c r="AL615" s="36"/>
    </row>
    <row r="616" customFormat="false" ht="15" hidden="false" customHeight="false" outlineLevel="0" collapsed="false">
      <c r="AG616" s="36"/>
      <c r="AH616" s="36"/>
      <c r="AI616" s="36"/>
      <c r="AK616" s="36"/>
      <c r="AL616" s="36"/>
    </row>
    <row r="617" customFormat="false" ht="15" hidden="false" customHeight="false" outlineLevel="0" collapsed="false">
      <c r="AG617" s="36"/>
      <c r="AH617" s="36"/>
      <c r="AI617" s="36"/>
      <c r="AK617" s="36"/>
      <c r="AL617" s="36"/>
    </row>
    <row r="618" customFormat="false" ht="15" hidden="false" customHeight="false" outlineLevel="0" collapsed="false">
      <c r="AG618" s="36"/>
      <c r="AH618" s="36"/>
      <c r="AI618" s="36"/>
      <c r="AK618" s="36"/>
      <c r="AL618" s="36"/>
    </row>
    <row r="619" customFormat="false" ht="15" hidden="false" customHeight="false" outlineLevel="0" collapsed="false">
      <c r="AG619" s="36"/>
      <c r="AH619" s="36"/>
      <c r="AI619" s="36"/>
      <c r="AK619" s="36"/>
      <c r="AL619" s="36"/>
    </row>
    <row r="620" customFormat="false" ht="15" hidden="false" customHeight="false" outlineLevel="0" collapsed="false">
      <c r="AG620" s="36"/>
      <c r="AH620" s="36"/>
      <c r="AI620" s="36"/>
      <c r="AK620" s="36"/>
      <c r="AL620" s="36"/>
    </row>
    <row r="621" customFormat="false" ht="15" hidden="false" customHeight="false" outlineLevel="0" collapsed="false">
      <c r="AG621" s="36"/>
      <c r="AH621" s="36"/>
      <c r="AI621" s="36"/>
      <c r="AK621" s="36"/>
      <c r="AL621" s="36"/>
    </row>
    <row r="622" customFormat="false" ht="15" hidden="false" customHeight="false" outlineLevel="0" collapsed="false">
      <c r="AG622" s="36"/>
      <c r="AH622" s="36"/>
      <c r="AI622" s="36"/>
      <c r="AK622" s="36"/>
      <c r="AL622" s="36"/>
    </row>
    <row r="623" customFormat="false" ht="15" hidden="false" customHeight="false" outlineLevel="0" collapsed="false">
      <c r="AG623" s="36"/>
      <c r="AH623" s="36"/>
      <c r="AI623" s="36"/>
      <c r="AK623" s="36"/>
      <c r="AL623" s="36"/>
    </row>
    <row r="624" customFormat="false" ht="15" hidden="false" customHeight="false" outlineLevel="0" collapsed="false">
      <c r="AG624" s="36"/>
      <c r="AH624" s="36"/>
      <c r="AI624" s="36"/>
      <c r="AK624" s="36"/>
      <c r="AL624" s="36"/>
    </row>
    <row r="625" customFormat="false" ht="15" hidden="false" customHeight="false" outlineLevel="0" collapsed="false">
      <c r="AG625" s="36"/>
      <c r="AH625" s="36"/>
      <c r="AI625" s="36"/>
      <c r="AK625" s="36"/>
      <c r="AL625" s="36"/>
    </row>
    <row r="626" customFormat="false" ht="15" hidden="false" customHeight="false" outlineLevel="0" collapsed="false">
      <c r="AG626" s="36"/>
      <c r="AH626" s="36"/>
      <c r="AI626" s="36"/>
      <c r="AK626" s="36"/>
      <c r="AL626" s="36"/>
    </row>
    <row r="627" customFormat="false" ht="15" hidden="false" customHeight="false" outlineLevel="0" collapsed="false">
      <c r="AG627" s="36"/>
      <c r="AH627" s="36"/>
      <c r="AI627" s="36"/>
      <c r="AK627" s="36"/>
      <c r="AL627" s="36"/>
    </row>
    <row r="628" customFormat="false" ht="15" hidden="false" customHeight="false" outlineLevel="0" collapsed="false">
      <c r="AG628" s="36"/>
      <c r="AH628" s="36"/>
      <c r="AI628" s="36"/>
      <c r="AK628" s="36"/>
      <c r="AL628" s="36"/>
    </row>
    <row r="629" customFormat="false" ht="15" hidden="false" customHeight="false" outlineLevel="0" collapsed="false">
      <c r="AG629" s="36"/>
      <c r="AH629" s="36"/>
      <c r="AI629" s="36"/>
      <c r="AK629" s="36"/>
      <c r="AL629" s="36"/>
    </row>
    <row r="630" customFormat="false" ht="15" hidden="false" customHeight="false" outlineLevel="0" collapsed="false">
      <c r="AG630" s="36"/>
      <c r="AH630" s="36"/>
      <c r="AI630" s="36"/>
      <c r="AK630" s="36"/>
      <c r="AL630" s="36"/>
    </row>
    <row r="631" customFormat="false" ht="15" hidden="false" customHeight="false" outlineLevel="0" collapsed="false">
      <c r="AG631" s="36"/>
      <c r="AH631" s="36"/>
      <c r="AI631" s="36"/>
      <c r="AK631" s="36"/>
      <c r="AL631" s="36"/>
    </row>
    <row r="632" customFormat="false" ht="15" hidden="false" customHeight="false" outlineLevel="0" collapsed="false">
      <c r="AG632" s="36"/>
      <c r="AH632" s="36"/>
      <c r="AI632" s="36"/>
      <c r="AK632" s="36"/>
      <c r="AL632" s="36"/>
    </row>
    <row r="633" customFormat="false" ht="15" hidden="false" customHeight="false" outlineLevel="0" collapsed="false">
      <c r="AG633" s="36"/>
      <c r="AH633" s="36"/>
      <c r="AI633" s="36"/>
      <c r="AK633" s="36"/>
      <c r="AL633" s="36"/>
    </row>
    <row r="634" customFormat="false" ht="15" hidden="false" customHeight="false" outlineLevel="0" collapsed="false">
      <c r="AG634" s="36"/>
      <c r="AH634" s="36"/>
      <c r="AI634" s="36"/>
      <c r="AK634" s="36"/>
      <c r="AL634" s="36"/>
    </row>
    <row r="635" customFormat="false" ht="15" hidden="false" customHeight="false" outlineLevel="0" collapsed="false">
      <c r="AG635" s="36"/>
      <c r="AH635" s="36"/>
      <c r="AI635" s="36"/>
      <c r="AK635" s="36"/>
      <c r="AL635" s="36"/>
    </row>
    <row r="636" customFormat="false" ht="15" hidden="false" customHeight="false" outlineLevel="0" collapsed="false">
      <c r="AG636" s="36"/>
      <c r="AH636" s="36"/>
      <c r="AI636" s="36"/>
      <c r="AK636" s="36"/>
      <c r="AL636" s="36"/>
    </row>
    <row r="637" customFormat="false" ht="15" hidden="false" customHeight="false" outlineLevel="0" collapsed="false">
      <c r="AG637" s="36"/>
      <c r="AH637" s="36"/>
      <c r="AI637" s="36"/>
      <c r="AK637" s="36"/>
      <c r="AL637" s="36"/>
    </row>
    <row r="638" customFormat="false" ht="15" hidden="false" customHeight="false" outlineLevel="0" collapsed="false">
      <c r="AG638" s="36"/>
      <c r="AH638" s="36"/>
      <c r="AI638" s="36"/>
      <c r="AK638" s="36"/>
      <c r="AL638" s="36"/>
    </row>
    <row r="639" customFormat="false" ht="15" hidden="false" customHeight="false" outlineLevel="0" collapsed="false">
      <c r="AG639" s="36"/>
      <c r="AH639" s="36"/>
      <c r="AI639" s="36"/>
      <c r="AK639" s="36"/>
      <c r="AL639" s="36"/>
    </row>
    <row r="640" customFormat="false" ht="15" hidden="false" customHeight="false" outlineLevel="0" collapsed="false">
      <c r="AG640" s="36"/>
      <c r="AH640" s="36"/>
      <c r="AI640" s="36"/>
      <c r="AK640" s="36"/>
      <c r="AL640" s="36"/>
    </row>
    <row r="641" customFormat="false" ht="15" hidden="false" customHeight="false" outlineLevel="0" collapsed="false">
      <c r="AG641" s="36"/>
      <c r="AH641" s="36"/>
      <c r="AI641" s="36"/>
      <c r="AK641" s="36"/>
      <c r="AL641" s="36"/>
    </row>
    <row r="642" customFormat="false" ht="15" hidden="false" customHeight="false" outlineLevel="0" collapsed="false">
      <c r="AG642" s="36"/>
      <c r="AH642" s="36"/>
      <c r="AI642" s="36"/>
      <c r="AK642" s="36"/>
      <c r="AL642" s="36"/>
    </row>
    <row r="643" customFormat="false" ht="15" hidden="false" customHeight="false" outlineLevel="0" collapsed="false">
      <c r="AG643" s="36"/>
      <c r="AH643" s="36"/>
      <c r="AI643" s="36"/>
      <c r="AK643" s="36"/>
      <c r="AL643" s="36"/>
    </row>
    <row r="644" customFormat="false" ht="15" hidden="false" customHeight="false" outlineLevel="0" collapsed="false">
      <c r="AG644" s="36"/>
      <c r="AH644" s="36"/>
      <c r="AI644" s="36"/>
      <c r="AK644" s="36"/>
      <c r="AL644" s="36"/>
    </row>
    <row r="645" customFormat="false" ht="15" hidden="false" customHeight="false" outlineLevel="0" collapsed="false">
      <c r="AG645" s="36"/>
      <c r="AH645" s="36"/>
      <c r="AI645" s="36"/>
      <c r="AK645" s="36"/>
      <c r="AL645" s="36"/>
    </row>
    <row r="646" customFormat="false" ht="15" hidden="false" customHeight="false" outlineLevel="0" collapsed="false">
      <c r="AG646" s="36"/>
      <c r="AH646" s="36"/>
      <c r="AI646" s="36"/>
      <c r="AK646" s="36"/>
      <c r="AL646" s="36"/>
    </row>
    <row r="647" customFormat="false" ht="15" hidden="false" customHeight="false" outlineLevel="0" collapsed="false">
      <c r="AG647" s="36"/>
      <c r="AH647" s="36"/>
      <c r="AI647" s="36"/>
      <c r="AK647" s="36"/>
      <c r="AL647" s="36"/>
    </row>
    <row r="648" customFormat="false" ht="15" hidden="false" customHeight="false" outlineLevel="0" collapsed="false">
      <c r="AG648" s="36"/>
      <c r="AH648" s="36"/>
      <c r="AI648" s="36"/>
      <c r="AK648" s="36"/>
      <c r="AL648" s="36"/>
    </row>
    <row r="649" customFormat="false" ht="15" hidden="false" customHeight="false" outlineLevel="0" collapsed="false">
      <c r="AG649" s="36"/>
      <c r="AH649" s="36"/>
      <c r="AI649" s="36"/>
      <c r="AK649" s="36"/>
      <c r="AL649" s="36"/>
    </row>
    <row r="650" customFormat="false" ht="15" hidden="false" customHeight="false" outlineLevel="0" collapsed="false">
      <c r="AG650" s="36"/>
      <c r="AH650" s="36"/>
      <c r="AI650" s="36"/>
      <c r="AK650" s="36"/>
      <c r="AL650" s="36"/>
    </row>
    <row r="651" customFormat="false" ht="15" hidden="false" customHeight="false" outlineLevel="0" collapsed="false">
      <c r="AG651" s="36"/>
      <c r="AH651" s="36"/>
      <c r="AI651" s="36"/>
      <c r="AK651" s="36"/>
      <c r="AL651" s="36"/>
    </row>
    <row r="652" customFormat="false" ht="15" hidden="false" customHeight="false" outlineLevel="0" collapsed="false">
      <c r="AG652" s="36"/>
      <c r="AH652" s="36"/>
      <c r="AI652" s="36"/>
      <c r="AK652" s="36"/>
      <c r="AL652" s="36"/>
    </row>
    <row r="653" customFormat="false" ht="15" hidden="false" customHeight="false" outlineLevel="0" collapsed="false">
      <c r="AG653" s="36"/>
      <c r="AH653" s="36"/>
      <c r="AI653" s="36"/>
      <c r="AK653" s="36"/>
      <c r="AL653" s="36"/>
    </row>
    <row r="654" customFormat="false" ht="15" hidden="false" customHeight="false" outlineLevel="0" collapsed="false">
      <c r="AG654" s="36"/>
      <c r="AH654" s="36"/>
      <c r="AI654" s="36"/>
      <c r="AK654" s="36"/>
      <c r="AL654" s="36"/>
    </row>
    <row r="655" customFormat="false" ht="15" hidden="false" customHeight="false" outlineLevel="0" collapsed="false">
      <c r="AG655" s="36"/>
      <c r="AH655" s="36"/>
      <c r="AI655" s="36"/>
      <c r="AK655" s="36"/>
      <c r="AL655" s="36"/>
    </row>
    <row r="656" customFormat="false" ht="15" hidden="false" customHeight="false" outlineLevel="0" collapsed="false">
      <c r="AG656" s="36"/>
      <c r="AH656" s="36"/>
      <c r="AI656" s="36"/>
      <c r="AK656" s="36"/>
      <c r="AL656" s="36"/>
    </row>
    <row r="657" customFormat="false" ht="15" hidden="false" customHeight="false" outlineLevel="0" collapsed="false">
      <c r="AG657" s="36"/>
      <c r="AH657" s="36"/>
      <c r="AI657" s="36"/>
      <c r="AK657" s="36"/>
      <c r="AL657" s="36"/>
    </row>
    <row r="658" customFormat="false" ht="15" hidden="false" customHeight="false" outlineLevel="0" collapsed="false">
      <c r="AG658" s="36"/>
      <c r="AH658" s="36"/>
      <c r="AI658" s="36"/>
      <c r="AK658" s="36"/>
      <c r="AL658" s="36"/>
    </row>
    <row r="659" customFormat="false" ht="15" hidden="false" customHeight="false" outlineLevel="0" collapsed="false">
      <c r="AG659" s="36"/>
      <c r="AH659" s="36"/>
      <c r="AI659" s="36"/>
      <c r="AK659" s="36"/>
      <c r="AL659" s="36"/>
    </row>
    <row r="660" customFormat="false" ht="15" hidden="false" customHeight="false" outlineLevel="0" collapsed="false">
      <c r="AG660" s="36"/>
      <c r="AH660" s="36"/>
      <c r="AI660" s="36"/>
      <c r="AK660" s="36"/>
      <c r="AL660" s="36"/>
    </row>
    <row r="661" customFormat="false" ht="15" hidden="false" customHeight="false" outlineLevel="0" collapsed="false">
      <c r="AG661" s="36"/>
      <c r="AH661" s="36"/>
      <c r="AI661" s="36"/>
      <c r="AK661" s="36"/>
      <c r="AL661" s="36"/>
    </row>
    <row r="662" customFormat="false" ht="15" hidden="false" customHeight="false" outlineLevel="0" collapsed="false">
      <c r="AG662" s="36"/>
      <c r="AH662" s="36"/>
      <c r="AI662" s="36"/>
      <c r="AK662" s="36"/>
      <c r="AL662" s="36"/>
    </row>
    <row r="663" customFormat="false" ht="15" hidden="false" customHeight="false" outlineLevel="0" collapsed="false">
      <c r="AG663" s="36"/>
      <c r="AH663" s="36"/>
      <c r="AI663" s="36"/>
      <c r="AK663" s="36"/>
      <c r="AL663" s="36"/>
    </row>
    <row r="664" customFormat="false" ht="15" hidden="false" customHeight="false" outlineLevel="0" collapsed="false">
      <c r="AG664" s="36"/>
      <c r="AH664" s="36"/>
      <c r="AI664" s="36"/>
      <c r="AK664" s="36"/>
      <c r="AL664" s="36"/>
    </row>
    <row r="665" customFormat="false" ht="15" hidden="false" customHeight="false" outlineLevel="0" collapsed="false">
      <c r="AG665" s="36"/>
      <c r="AH665" s="36"/>
      <c r="AI665" s="36"/>
      <c r="AK665" s="36"/>
      <c r="AL665" s="36"/>
    </row>
    <row r="666" customFormat="false" ht="15" hidden="false" customHeight="false" outlineLevel="0" collapsed="false">
      <c r="AG666" s="36"/>
      <c r="AH666" s="36"/>
      <c r="AI666" s="36"/>
      <c r="AK666" s="36"/>
      <c r="AL666" s="36"/>
    </row>
    <row r="667" customFormat="false" ht="15" hidden="false" customHeight="false" outlineLevel="0" collapsed="false">
      <c r="AG667" s="36"/>
      <c r="AH667" s="36"/>
      <c r="AI667" s="36"/>
      <c r="AK667" s="36"/>
      <c r="AL667" s="36"/>
    </row>
    <row r="668" customFormat="false" ht="15" hidden="false" customHeight="false" outlineLevel="0" collapsed="false">
      <c r="AG668" s="36"/>
      <c r="AH668" s="36"/>
      <c r="AI668" s="36"/>
      <c r="AK668" s="36"/>
      <c r="AL668" s="36"/>
    </row>
    <row r="669" customFormat="false" ht="15" hidden="false" customHeight="false" outlineLevel="0" collapsed="false">
      <c r="AG669" s="36"/>
      <c r="AH669" s="36"/>
      <c r="AI669" s="36"/>
      <c r="AK669" s="36"/>
      <c r="AL669" s="36"/>
    </row>
    <row r="670" customFormat="false" ht="15" hidden="false" customHeight="false" outlineLevel="0" collapsed="false">
      <c r="AG670" s="36"/>
      <c r="AH670" s="36"/>
      <c r="AI670" s="36"/>
      <c r="AK670" s="36"/>
      <c r="AL670" s="36"/>
    </row>
    <row r="671" customFormat="false" ht="15" hidden="false" customHeight="false" outlineLevel="0" collapsed="false">
      <c r="AG671" s="36"/>
      <c r="AH671" s="36"/>
      <c r="AI671" s="36"/>
      <c r="AK671" s="36"/>
      <c r="AL671" s="36"/>
    </row>
    <row r="672" customFormat="false" ht="15" hidden="false" customHeight="false" outlineLevel="0" collapsed="false">
      <c r="AG672" s="36"/>
      <c r="AH672" s="36"/>
      <c r="AI672" s="36"/>
      <c r="AK672" s="36"/>
      <c r="AL672" s="36"/>
    </row>
    <row r="673" customFormat="false" ht="15" hidden="false" customHeight="false" outlineLevel="0" collapsed="false">
      <c r="AG673" s="36"/>
      <c r="AH673" s="36"/>
      <c r="AI673" s="36"/>
      <c r="AK673" s="36"/>
      <c r="AL673" s="36"/>
    </row>
    <row r="674" customFormat="false" ht="15" hidden="false" customHeight="false" outlineLevel="0" collapsed="false">
      <c r="AG674" s="36"/>
      <c r="AH674" s="36"/>
      <c r="AI674" s="36"/>
      <c r="AK674" s="36"/>
      <c r="AL674" s="36"/>
    </row>
    <row r="675" customFormat="false" ht="15" hidden="false" customHeight="false" outlineLevel="0" collapsed="false">
      <c r="AG675" s="36"/>
      <c r="AH675" s="36"/>
      <c r="AI675" s="36"/>
      <c r="AK675" s="36"/>
      <c r="AL675" s="36"/>
    </row>
    <row r="676" customFormat="false" ht="15" hidden="false" customHeight="false" outlineLevel="0" collapsed="false">
      <c r="AG676" s="36"/>
      <c r="AH676" s="36"/>
      <c r="AI676" s="36"/>
      <c r="AK676" s="36"/>
      <c r="AL676" s="36"/>
    </row>
    <row r="677" customFormat="false" ht="15" hidden="false" customHeight="false" outlineLevel="0" collapsed="false">
      <c r="AG677" s="36"/>
      <c r="AH677" s="36"/>
      <c r="AI677" s="36"/>
      <c r="AK677" s="36"/>
      <c r="AL677" s="36"/>
    </row>
    <row r="678" customFormat="false" ht="15" hidden="false" customHeight="false" outlineLevel="0" collapsed="false">
      <c r="AG678" s="36"/>
      <c r="AH678" s="36"/>
      <c r="AI678" s="36"/>
      <c r="AK678" s="36"/>
      <c r="AL678" s="36"/>
    </row>
    <row r="679" customFormat="false" ht="15" hidden="false" customHeight="false" outlineLevel="0" collapsed="false">
      <c r="AG679" s="36"/>
      <c r="AH679" s="36"/>
      <c r="AI679" s="36"/>
      <c r="AK679" s="36"/>
      <c r="AL679" s="36"/>
    </row>
    <row r="680" customFormat="false" ht="15" hidden="false" customHeight="false" outlineLevel="0" collapsed="false">
      <c r="AG680" s="36"/>
      <c r="AH680" s="36"/>
      <c r="AI680" s="36"/>
      <c r="AK680" s="36"/>
      <c r="AL680" s="36"/>
    </row>
    <row r="681" customFormat="false" ht="15" hidden="false" customHeight="false" outlineLevel="0" collapsed="false">
      <c r="AG681" s="36"/>
      <c r="AH681" s="36"/>
      <c r="AI681" s="36"/>
      <c r="AK681" s="36"/>
      <c r="AL681" s="36"/>
    </row>
    <row r="682" customFormat="false" ht="15" hidden="false" customHeight="false" outlineLevel="0" collapsed="false">
      <c r="AG682" s="36"/>
      <c r="AH682" s="36"/>
      <c r="AI682" s="36"/>
      <c r="AK682" s="36"/>
      <c r="AL682" s="36"/>
    </row>
    <row r="683" customFormat="false" ht="15" hidden="false" customHeight="false" outlineLevel="0" collapsed="false">
      <c r="AG683" s="36"/>
      <c r="AH683" s="36"/>
      <c r="AI683" s="36"/>
      <c r="AK683" s="36"/>
      <c r="AL683" s="36"/>
    </row>
    <row r="684" customFormat="false" ht="15" hidden="false" customHeight="false" outlineLevel="0" collapsed="false">
      <c r="AG684" s="36"/>
      <c r="AH684" s="36"/>
      <c r="AI684" s="36"/>
      <c r="AK684" s="36"/>
      <c r="AL684" s="36"/>
    </row>
    <row r="685" customFormat="false" ht="15" hidden="false" customHeight="false" outlineLevel="0" collapsed="false">
      <c r="AG685" s="36"/>
      <c r="AH685" s="36"/>
      <c r="AI685" s="36"/>
      <c r="AK685" s="36"/>
      <c r="AL685" s="36"/>
    </row>
    <row r="686" customFormat="false" ht="15" hidden="false" customHeight="false" outlineLevel="0" collapsed="false">
      <c r="AG686" s="36"/>
      <c r="AH686" s="36"/>
      <c r="AI686" s="36"/>
      <c r="AK686" s="36"/>
      <c r="AL686" s="36"/>
    </row>
    <row r="687" customFormat="false" ht="15" hidden="false" customHeight="false" outlineLevel="0" collapsed="false">
      <c r="AG687" s="36"/>
      <c r="AH687" s="36"/>
      <c r="AI687" s="36"/>
      <c r="AK687" s="36"/>
      <c r="AL687" s="36"/>
    </row>
    <row r="688" customFormat="false" ht="15" hidden="false" customHeight="false" outlineLevel="0" collapsed="false">
      <c r="AG688" s="36"/>
      <c r="AH688" s="36"/>
      <c r="AI688" s="36"/>
      <c r="AK688" s="36"/>
      <c r="AL688" s="36"/>
    </row>
    <row r="689" customFormat="false" ht="15" hidden="false" customHeight="false" outlineLevel="0" collapsed="false">
      <c r="AG689" s="36"/>
      <c r="AH689" s="36"/>
      <c r="AI689" s="36"/>
      <c r="AK689" s="36"/>
      <c r="AL689" s="36"/>
    </row>
    <row r="690" customFormat="false" ht="15" hidden="false" customHeight="false" outlineLevel="0" collapsed="false">
      <c r="AG690" s="36"/>
      <c r="AH690" s="36"/>
      <c r="AI690" s="36"/>
      <c r="AK690" s="36"/>
      <c r="AL690" s="36"/>
    </row>
    <row r="691" customFormat="false" ht="15" hidden="false" customHeight="false" outlineLevel="0" collapsed="false">
      <c r="AG691" s="36"/>
      <c r="AH691" s="36"/>
      <c r="AI691" s="36"/>
      <c r="AK691" s="36"/>
      <c r="AL691" s="36"/>
    </row>
    <row r="692" customFormat="false" ht="15" hidden="false" customHeight="false" outlineLevel="0" collapsed="false">
      <c r="AG692" s="36"/>
      <c r="AH692" s="36"/>
      <c r="AI692" s="36"/>
      <c r="AK692" s="36"/>
      <c r="AL692" s="36"/>
    </row>
    <row r="693" customFormat="false" ht="15" hidden="false" customHeight="false" outlineLevel="0" collapsed="false">
      <c r="AG693" s="36"/>
      <c r="AH693" s="36"/>
      <c r="AI693" s="36"/>
      <c r="AK693" s="36"/>
      <c r="AL693" s="36"/>
    </row>
    <row r="694" customFormat="false" ht="15" hidden="false" customHeight="false" outlineLevel="0" collapsed="false">
      <c r="AG694" s="36"/>
      <c r="AH694" s="36"/>
      <c r="AI694" s="36"/>
      <c r="AK694" s="36"/>
      <c r="AL694" s="36"/>
    </row>
    <row r="695" customFormat="false" ht="15" hidden="false" customHeight="false" outlineLevel="0" collapsed="false">
      <c r="AG695" s="36"/>
      <c r="AH695" s="36"/>
      <c r="AI695" s="36"/>
      <c r="AK695" s="36"/>
      <c r="AL695" s="36"/>
    </row>
    <row r="696" customFormat="false" ht="15" hidden="false" customHeight="false" outlineLevel="0" collapsed="false">
      <c r="AG696" s="36"/>
      <c r="AH696" s="36"/>
      <c r="AI696" s="36"/>
      <c r="AK696" s="36"/>
      <c r="AL696" s="36"/>
    </row>
    <row r="697" customFormat="false" ht="15" hidden="false" customHeight="false" outlineLevel="0" collapsed="false">
      <c r="AG697" s="36"/>
      <c r="AH697" s="36"/>
      <c r="AI697" s="36"/>
      <c r="AK697" s="36"/>
      <c r="AL697" s="36"/>
    </row>
    <row r="698" customFormat="false" ht="15" hidden="false" customHeight="false" outlineLevel="0" collapsed="false">
      <c r="AG698" s="36"/>
      <c r="AH698" s="36"/>
      <c r="AI698" s="36"/>
      <c r="AK698" s="36"/>
      <c r="AL698" s="36"/>
    </row>
    <row r="699" customFormat="false" ht="15" hidden="false" customHeight="false" outlineLevel="0" collapsed="false">
      <c r="AG699" s="36"/>
      <c r="AH699" s="36"/>
      <c r="AI699" s="36"/>
      <c r="AK699" s="36"/>
      <c r="AL699" s="36"/>
    </row>
    <row r="700" customFormat="false" ht="15" hidden="false" customHeight="false" outlineLevel="0" collapsed="false">
      <c r="AG700" s="36"/>
      <c r="AH700" s="36"/>
      <c r="AI700" s="36"/>
      <c r="AK700" s="36"/>
      <c r="AL700" s="36"/>
    </row>
    <row r="701" customFormat="false" ht="15" hidden="false" customHeight="false" outlineLevel="0" collapsed="false">
      <c r="AG701" s="36"/>
      <c r="AH701" s="36"/>
      <c r="AI701" s="36"/>
      <c r="AK701" s="36"/>
      <c r="AL701" s="36"/>
    </row>
    <row r="702" customFormat="false" ht="15" hidden="false" customHeight="false" outlineLevel="0" collapsed="false">
      <c r="AG702" s="36"/>
      <c r="AH702" s="36"/>
      <c r="AI702" s="36"/>
      <c r="AK702" s="36"/>
      <c r="AL702" s="36"/>
    </row>
    <row r="703" customFormat="false" ht="15" hidden="false" customHeight="false" outlineLevel="0" collapsed="false">
      <c r="AG703" s="36"/>
      <c r="AH703" s="36"/>
      <c r="AI703" s="36"/>
      <c r="AK703" s="36"/>
      <c r="AL703" s="36"/>
    </row>
    <row r="704" customFormat="false" ht="15" hidden="false" customHeight="false" outlineLevel="0" collapsed="false">
      <c r="AG704" s="36"/>
      <c r="AH704" s="36"/>
      <c r="AI704" s="36"/>
      <c r="AK704" s="36"/>
      <c r="AL704" s="36"/>
    </row>
    <row r="705" customFormat="false" ht="15" hidden="false" customHeight="false" outlineLevel="0" collapsed="false">
      <c r="AG705" s="36"/>
      <c r="AH705" s="36"/>
      <c r="AI705" s="36"/>
      <c r="AK705" s="36"/>
      <c r="AL705" s="36"/>
    </row>
    <row r="706" customFormat="false" ht="15" hidden="false" customHeight="false" outlineLevel="0" collapsed="false">
      <c r="AG706" s="36"/>
      <c r="AH706" s="36"/>
      <c r="AI706" s="36"/>
      <c r="AK706" s="36"/>
      <c r="AL706" s="36"/>
    </row>
    <row r="707" customFormat="false" ht="15" hidden="false" customHeight="false" outlineLevel="0" collapsed="false">
      <c r="AG707" s="36"/>
      <c r="AH707" s="36"/>
      <c r="AI707" s="36"/>
      <c r="AK707" s="36"/>
      <c r="AL707" s="36"/>
    </row>
    <row r="708" customFormat="false" ht="15" hidden="false" customHeight="false" outlineLevel="0" collapsed="false">
      <c r="AG708" s="36"/>
      <c r="AH708" s="36"/>
      <c r="AI708" s="36"/>
      <c r="AK708" s="36"/>
      <c r="AL708" s="36"/>
    </row>
    <row r="709" customFormat="false" ht="15" hidden="false" customHeight="false" outlineLevel="0" collapsed="false">
      <c r="AG709" s="36"/>
      <c r="AH709" s="36"/>
      <c r="AI709" s="36"/>
      <c r="AK709" s="36"/>
      <c r="AL709" s="36"/>
    </row>
    <row r="710" customFormat="false" ht="15" hidden="false" customHeight="false" outlineLevel="0" collapsed="false">
      <c r="AG710" s="36"/>
      <c r="AH710" s="36"/>
      <c r="AI710" s="36"/>
      <c r="AK710" s="36"/>
      <c r="AL710" s="36"/>
    </row>
    <row r="711" customFormat="false" ht="15" hidden="false" customHeight="false" outlineLevel="0" collapsed="false">
      <c r="AG711" s="36"/>
      <c r="AH711" s="36"/>
      <c r="AI711" s="36"/>
      <c r="AK711" s="36"/>
      <c r="AL711" s="36"/>
    </row>
    <row r="712" customFormat="false" ht="15" hidden="false" customHeight="false" outlineLevel="0" collapsed="false">
      <c r="AG712" s="36"/>
      <c r="AH712" s="36"/>
      <c r="AI712" s="36"/>
      <c r="AK712" s="36"/>
      <c r="AL712" s="36"/>
    </row>
    <row r="713" customFormat="false" ht="15" hidden="false" customHeight="false" outlineLevel="0" collapsed="false">
      <c r="AG713" s="36"/>
      <c r="AH713" s="36"/>
      <c r="AI713" s="36"/>
      <c r="AK713" s="36"/>
      <c r="AL713" s="36"/>
    </row>
    <row r="714" customFormat="false" ht="15" hidden="false" customHeight="false" outlineLevel="0" collapsed="false">
      <c r="AG714" s="36"/>
      <c r="AH714" s="36"/>
      <c r="AI714" s="36"/>
      <c r="AK714" s="36"/>
      <c r="AL714" s="36"/>
    </row>
    <row r="715" customFormat="false" ht="15" hidden="false" customHeight="false" outlineLevel="0" collapsed="false">
      <c r="AG715" s="36"/>
      <c r="AH715" s="36"/>
      <c r="AI715" s="36"/>
      <c r="AK715" s="36"/>
      <c r="AL715" s="36"/>
    </row>
    <row r="716" customFormat="false" ht="15" hidden="false" customHeight="false" outlineLevel="0" collapsed="false">
      <c r="AG716" s="36"/>
      <c r="AH716" s="36"/>
      <c r="AI716" s="36"/>
      <c r="AK716" s="36"/>
      <c r="AL716" s="36"/>
    </row>
    <row r="717" customFormat="false" ht="15" hidden="false" customHeight="false" outlineLevel="0" collapsed="false">
      <c r="AG717" s="36"/>
      <c r="AH717" s="36"/>
      <c r="AI717" s="36"/>
      <c r="AK717" s="36"/>
      <c r="AL717" s="36"/>
    </row>
    <row r="718" customFormat="false" ht="15" hidden="false" customHeight="false" outlineLevel="0" collapsed="false">
      <c r="AG718" s="36"/>
      <c r="AH718" s="36"/>
      <c r="AI718" s="36"/>
      <c r="AK718" s="36"/>
      <c r="AL718" s="36"/>
    </row>
    <row r="719" customFormat="false" ht="15" hidden="false" customHeight="false" outlineLevel="0" collapsed="false">
      <c r="AG719" s="36"/>
      <c r="AH719" s="36"/>
      <c r="AI719" s="36"/>
      <c r="AK719" s="36"/>
      <c r="AL719" s="36"/>
    </row>
    <row r="720" customFormat="false" ht="15" hidden="false" customHeight="false" outlineLevel="0" collapsed="false">
      <c r="AG720" s="36"/>
      <c r="AH720" s="36"/>
      <c r="AI720" s="36"/>
      <c r="AK720" s="36"/>
      <c r="AL720" s="36"/>
    </row>
    <row r="721" customFormat="false" ht="15" hidden="false" customHeight="false" outlineLevel="0" collapsed="false">
      <c r="AG721" s="36"/>
      <c r="AH721" s="36"/>
      <c r="AI721" s="36"/>
      <c r="AK721" s="36"/>
      <c r="AL721" s="36"/>
    </row>
    <row r="722" customFormat="false" ht="15" hidden="false" customHeight="false" outlineLevel="0" collapsed="false">
      <c r="AG722" s="36"/>
      <c r="AH722" s="36"/>
      <c r="AI722" s="36"/>
      <c r="AK722" s="36"/>
      <c r="AL722" s="36"/>
    </row>
    <row r="723" customFormat="false" ht="15" hidden="false" customHeight="false" outlineLevel="0" collapsed="false">
      <c r="AG723" s="36"/>
      <c r="AH723" s="36"/>
      <c r="AI723" s="36"/>
      <c r="AK723" s="36"/>
      <c r="AL723" s="36"/>
    </row>
    <row r="724" customFormat="false" ht="15" hidden="false" customHeight="false" outlineLevel="0" collapsed="false">
      <c r="AG724" s="36"/>
      <c r="AH724" s="36"/>
      <c r="AI724" s="36"/>
      <c r="AK724" s="36"/>
      <c r="AL724" s="36"/>
    </row>
    <row r="725" customFormat="false" ht="15" hidden="false" customHeight="false" outlineLevel="0" collapsed="false">
      <c r="AG725" s="36"/>
      <c r="AH725" s="36"/>
      <c r="AI725" s="36"/>
      <c r="AK725" s="36"/>
      <c r="AL725" s="36"/>
    </row>
    <row r="726" customFormat="false" ht="15" hidden="false" customHeight="false" outlineLevel="0" collapsed="false">
      <c r="AG726" s="36"/>
      <c r="AH726" s="36"/>
      <c r="AI726" s="36"/>
      <c r="AK726" s="36"/>
      <c r="AL726" s="36"/>
    </row>
    <row r="727" customFormat="false" ht="15" hidden="false" customHeight="false" outlineLevel="0" collapsed="false">
      <c r="AG727" s="36"/>
      <c r="AH727" s="36"/>
      <c r="AI727" s="36"/>
      <c r="AK727" s="36"/>
      <c r="AL727" s="36"/>
    </row>
    <row r="728" customFormat="false" ht="15" hidden="false" customHeight="false" outlineLevel="0" collapsed="false">
      <c r="AG728" s="36"/>
      <c r="AH728" s="36"/>
      <c r="AI728" s="36"/>
      <c r="AK728" s="36"/>
      <c r="AL728" s="36"/>
    </row>
    <row r="729" customFormat="false" ht="15" hidden="false" customHeight="false" outlineLevel="0" collapsed="false">
      <c r="AG729" s="36"/>
      <c r="AH729" s="36"/>
      <c r="AI729" s="36"/>
      <c r="AK729" s="36"/>
      <c r="AL729" s="36"/>
    </row>
    <row r="730" customFormat="false" ht="15" hidden="false" customHeight="false" outlineLevel="0" collapsed="false">
      <c r="AG730" s="36"/>
      <c r="AH730" s="36"/>
      <c r="AI730" s="36"/>
      <c r="AK730" s="36"/>
      <c r="AL730" s="36"/>
    </row>
    <row r="731" customFormat="false" ht="15" hidden="false" customHeight="false" outlineLevel="0" collapsed="false">
      <c r="AG731" s="36"/>
      <c r="AH731" s="36"/>
      <c r="AI731" s="36"/>
      <c r="AK731" s="36"/>
      <c r="AL731" s="36"/>
    </row>
    <row r="732" customFormat="false" ht="15" hidden="false" customHeight="false" outlineLevel="0" collapsed="false">
      <c r="AG732" s="36"/>
      <c r="AH732" s="36"/>
      <c r="AI732" s="36"/>
      <c r="AK732" s="36"/>
      <c r="AL732" s="36"/>
    </row>
    <row r="733" customFormat="false" ht="15" hidden="false" customHeight="false" outlineLevel="0" collapsed="false">
      <c r="AG733" s="36"/>
      <c r="AH733" s="36"/>
      <c r="AI733" s="36"/>
      <c r="AK733" s="36"/>
      <c r="AL733" s="36"/>
    </row>
    <row r="734" customFormat="false" ht="15" hidden="false" customHeight="false" outlineLevel="0" collapsed="false">
      <c r="AG734" s="36"/>
      <c r="AH734" s="36"/>
      <c r="AI734" s="36"/>
      <c r="AK734" s="36"/>
      <c r="AL734" s="36"/>
    </row>
    <row r="735" customFormat="false" ht="15" hidden="false" customHeight="false" outlineLevel="0" collapsed="false">
      <c r="AG735" s="36"/>
      <c r="AH735" s="36"/>
      <c r="AI735" s="36"/>
      <c r="AK735" s="36"/>
      <c r="AL735" s="36"/>
    </row>
    <row r="736" customFormat="false" ht="15" hidden="false" customHeight="false" outlineLevel="0" collapsed="false">
      <c r="AG736" s="36"/>
      <c r="AH736" s="36"/>
      <c r="AI736" s="36"/>
      <c r="AK736" s="36"/>
      <c r="AL736" s="36"/>
    </row>
    <row r="737" customFormat="false" ht="15" hidden="false" customHeight="false" outlineLevel="0" collapsed="false">
      <c r="AG737" s="36"/>
      <c r="AH737" s="36"/>
      <c r="AI737" s="36"/>
      <c r="AK737" s="36"/>
      <c r="AL737" s="36"/>
    </row>
    <row r="738" customFormat="false" ht="15" hidden="false" customHeight="false" outlineLevel="0" collapsed="false">
      <c r="AG738" s="36"/>
      <c r="AH738" s="36"/>
      <c r="AI738" s="36"/>
      <c r="AK738" s="36"/>
      <c r="AL738" s="36"/>
    </row>
    <row r="739" customFormat="false" ht="15" hidden="false" customHeight="false" outlineLevel="0" collapsed="false">
      <c r="AG739" s="36"/>
      <c r="AH739" s="36"/>
      <c r="AI739" s="36"/>
      <c r="AK739" s="36"/>
      <c r="AL739" s="36"/>
    </row>
    <row r="740" customFormat="false" ht="15" hidden="false" customHeight="false" outlineLevel="0" collapsed="false">
      <c r="AG740" s="36"/>
      <c r="AH740" s="36"/>
      <c r="AI740" s="36"/>
      <c r="AK740" s="36"/>
      <c r="AL740" s="36"/>
    </row>
    <row r="741" customFormat="false" ht="15" hidden="false" customHeight="false" outlineLevel="0" collapsed="false">
      <c r="AG741" s="36"/>
      <c r="AH741" s="36"/>
      <c r="AI741" s="36"/>
      <c r="AK741" s="36"/>
      <c r="AL741" s="36"/>
    </row>
    <row r="742" customFormat="false" ht="15" hidden="false" customHeight="false" outlineLevel="0" collapsed="false">
      <c r="AG742" s="36"/>
      <c r="AH742" s="36"/>
      <c r="AI742" s="36"/>
      <c r="AK742" s="36"/>
      <c r="AL742" s="36"/>
    </row>
    <row r="743" customFormat="false" ht="15" hidden="false" customHeight="false" outlineLevel="0" collapsed="false">
      <c r="AG743" s="36"/>
      <c r="AH743" s="36"/>
      <c r="AI743" s="36"/>
      <c r="AK743" s="36"/>
      <c r="AL743" s="36"/>
    </row>
    <row r="744" customFormat="false" ht="15" hidden="false" customHeight="false" outlineLevel="0" collapsed="false">
      <c r="AG744" s="36"/>
      <c r="AH744" s="36"/>
      <c r="AI744" s="36"/>
      <c r="AK744" s="36"/>
      <c r="AL744" s="36"/>
    </row>
    <row r="745" customFormat="false" ht="15" hidden="false" customHeight="false" outlineLevel="0" collapsed="false">
      <c r="AG745" s="36"/>
      <c r="AH745" s="36"/>
      <c r="AI745" s="36"/>
      <c r="AK745" s="36"/>
      <c r="AL745" s="36"/>
    </row>
    <row r="746" customFormat="false" ht="15" hidden="false" customHeight="false" outlineLevel="0" collapsed="false">
      <c r="AG746" s="36"/>
      <c r="AH746" s="36"/>
      <c r="AI746" s="36"/>
      <c r="AK746" s="36"/>
      <c r="AL746" s="36"/>
    </row>
    <row r="747" customFormat="false" ht="15" hidden="false" customHeight="false" outlineLevel="0" collapsed="false">
      <c r="AG747" s="36"/>
      <c r="AH747" s="36"/>
      <c r="AI747" s="36"/>
      <c r="AK747" s="36"/>
      <c r="AL747" s="36"/>
    </row>
    <row r="748" customFormat="false" ht="15" hidden="false" customHeight="false" outlineLevel="0" collapsed="false">
      <c r="AG748" s="36"/>
      <c r="AH748" s="36"/>
      <c r="AI748" s="36"/>
      <c r="AK748" s="36"/>
      <c r="AL748" s="36"/>
    </row>
    <row r="749" customFormat="false" ht="15" hidden="false" customHeight="false" outlineLevel="0" collapsed="false">
      <c r="AG749" s="36"/>
      <c r="AH749" s="36"/>
      <c r="AI749" s="36"/>
      <c r="AK749" s="36"/>
      <c r="AL749" s="36"/>
    </row>
    <row r="750" customFormat="false" ht="15" hidden="false" customHeight="false" outlineLevel="0" collapsed="false">
      <c r="AG750" s="36"/>
      <c r="AH750" s="36"/>
      <c r="AI750" s="36"/>
      <c r="AK750" s="36"/>
      <c r="AL750" s="36"/>
    </row>
    <row r="751" customFormat="false" ht="15" hidden="false" customHeight="false" outlineLevel="0" collapsed="false">
      <c r="AG751" s="36"/>
      <c r="AH751" s="36"/>
      <c r="AI751" s="36"/>
      <c r="AK751" s="36"/>
      <c r="AL751" s="36"/>
    </row>
    <row r="752" customFormat="false" ht="15" hidden="false" customHeight="false" outlineLevel="0" collapsed="false">
      <c r="AG752" s="36"/>
      <c r="AH752" s="36"/>
      <c r="AI752" s="36"/>
      <c r="AK752" s="36"/>
      <c r="AL752" s="36"/>
    </row>
    <row r="753" customFormat="false" ht="15" hidden="false" customHeight="false" outlineLevel="0" collapsed="false">
      <c r="AG753" s="36"/>
      <c r="AH753" s="36"/>
      <c r="AI753" s="36"/>
      <c r="AK753" s="36"/>
      <c r="AL753" s="36"/>
    </row>
    <row r="754" customFormat="false" ht="15" hidden="false" customHeight="false" outlineLevel="0" collapsed="false">
      <c r="AG754" s="36"/>
      <c r="AH754" s="36"/>
      <c r="AI754" s="36"/>
      <c r="AK754" s="36"/>
      <c r="AL754" s="36"/>
    </row>
    <row r="755" customFormat="false" ht="15" hidden="false" customHeight="false" outlineLevel="0" collapsed="false">
      <c r="AG755" s="36"/>
      <c r="AH755" s="36"/>
      <c r="AI755" s="36"/>
      <c r="AK755" s="36"/>
      <c r="AL755" s="36"/>
    </row>
    <row r="756" customFormat="false" ht="15" hidden="false" customHeight="false" outlineLevel="0" collapsed="false">
      <c r="AG756" s="36"/>
      <c r="AH756" s="36"/>
      <c r="AI756" s="36"/>
      <c r="AK756" s="36"/>
      <c r="AL756" s="36"/>
    </row>
    <row r="757" customFormat="false" ht="15" hidden="false" customHeight="false" outlineLevel="0" collapsed="false">
      <c r="AG757" s="36"/>
      <c r="AH757" s="36"/>
      <c r="AI757" s="36"/>
      <c r="AK757" s="36"/>
      <c r="AL757" s="36"/>
    </row>
    <row r="758" customFormat="false" ht="15" hidden="false" customHeight="false" outlineLevel="0" collapsed="false">
      <c r="AG758" s="36"/>
      <c r="AH758" s="36"/>
      <c r="AI758" s="36"/>
      <c r="AK758" s="36"/>
      <c r="AL758" s="36"/>
    </row>
    <row r="759" customFormat="false" ht="15" hidden="false" customHeight="false" outlineLevel="0" collapsed="false">
      <c r="AG759" s="36"/>
      <c r="AH759" s="36"/>
      <c r="AI759" s="36"/>
      <c r="AK759" s="36"/>
      <c r="AL759" s="36"/>
    </row>
    <row r="760" customFormat="false" ht="15" hidden="false" customHeight="false" outlineLevel="0" collapsed="false">
      <c r="AG760" s="36"/>
      <c r="AH760" s="36"/>
      <c r="AI760" s="36"/>
      <c r="AK760" s="36"/>
      <c r="AL760" s="36"/>
    </row>
    <row r="761" customFormat="false" ht="15" hidden="false" customHeight="false" outlineLevel="0" collapsed="false">
      <c r="AG761" s="36"/>
      <c r="AH761" s="36"/>
      <c r="AI761" s="36"/>
      <c r="AK761" s="36"/>
      <c r="AL761" s="36"/>
    </row>
    <row r="762" customFormat="false" ht="15" hidden="false" customHeight="false" outlineLevel="0" collapsed="false">
      <c r="AG762" s="36"/>
      <c r="AH762" s="36"/>
      <c r="AI762" s="36"/>
      <c r="AK762" s="36"/>
      <c r="AL762" s="36"/>
    </row>
    <row r="763" customFormat="false" ht="15" hidden="false" customHeight="false" outlineLevel="0" collapsed="false">
      <c r="AG763" s="36"/>
      <c r="AH763" s="36"/>
      <c r="AI763" s="36"/>
      <c r="AK763" s="36"/>
      <c r="AL763" s="36"/>
    </row>
    <row r="764" customFormat="false" ht="15" hidden="false" customHeight="false" outlineLevel="0" collapsed="false">
      <c r="AG764" s="36"/>
      <c r="AH764" s="36"/>
      <c r="AI764" s="36"/>
      <c r="AK764" s="36"/>
      <c r="AL764" s="36"/>
    </row>
    <row r="765" customFormat="false" ht="15" hidden="false" customHeight="false" outlineLevel="0" collapsed="false">
      <c r="AG765" s="36"/>
      <c r="AH765" s="36"/>
      <c r="AI765" s="36"/>
      <c r="AK765" s="36"/>
      <c r="AL765" s="36"/>
    </row>
    <row r="766" customFormat="false" ht="15" hidden="false" customHeight="false" outlineLevel="0" collapsed="false">
      <c r="AG766" s="36"/>
      <c r="AH766" s="36"/>
      <c r="AI766" s="36"/>
      <c r="AK766" s="36"/>
      <c r="AL766" s="36"/>
    </row>
    <row r="767" customFormat="false" ht="15" hidden="false" customHeight="false" outlineLevel="0" collapsed="false">
      <c r="AG767" s="36"/>
      <c r="AH767" s="36"/>
      <c r="AI767" s="36"/>
      <c r="AK767" s="36"/>
      <c r="AL767" s="36"/>
    </row>
    <row r="768" customFormat="false" ht="15" hidden="false" customHeight="false" outlineLevel="0" collapsed="false">
      <c r="AG768" s="36"/>
      <c r="AH768" s="36"/>
      <c r="AI768" s="36"/>
      <c r="AK768" s="36"/>
      <c r="AL768" s="36"/>
    </row>
    <row r="769" customFormat="false" ht="15" hidden="false" customHeight="false" outlineLevel="0" collapsed="false">
      <c r="AG769" s="36"/>
      <c r="AH769" s="36"/>
      <c r="AI769" s="36"/>
      <c r="AK769" s="36"/>
      <c r="AL769" s="36"/>
    </row>
    <row r="770" customFormat="false" ht="15" hidden="false" customHeight="false" outlineLevel="0" collapsed="false">
      <c r="AG770" s="36"/>
      <c r="AH770" s="36"/>
      <c r="AI770" s="36"/>
      <c r="AK770" s="36"/>
      <c r="AL770" s="36"/>
    </row>
    <row r="771" customFormat="false" ht="15" hidden="false" customHeight="false" outlineLevel="0" collapsed="false">
      <c r="AG771" s="36"/>
      <c r="AH771" s="36"/>
      <c r="AI771" s="36"/>
      <c r="AK771" s="36"/>
      <c r="AL771" s="36"/>
    </row>
    <row r="772" customFormat="false" ht="15" hidden="false" customHeight="false" outlineLevel="0" collapsed="false">
      <c r="AG772" s="36"/>
      <c r="AH772" s="36"/>
      <c r="AI772" s="36"/>
      <c r="AK772" s="36"/>
      <c r="AL772" s="36"/>
    </row>
    <row r="773" customFormat="false" ht="15" hidden="false" customHeight="false" outlineLevel="0" collapsed="false">
      <c r="AG773" s="36"/>
      <c r="AH773" s="36"/>
      <c r="AI773" s="36"/>
      <c r="AK773" s="36"/>
      <c r="AL773" s="36"/>
    </row>
    <row r="774" customFormat="false" ht="15" hidden="false" customHeight="false" outlineLevel="0" collapsed="false">
      <c r="AG774" s="36"/>
      <c r="AH774" s="36"/>
      <c r="AI774" s="36"/>
      <c r="AK774" s="36"/>
      <c r="AL774" s="36"/>
    </row>
    <row r="775" customFormat="false" ht="15" hidden="false" customHeight="false" outlineLevel="0" collapsed="false">
      <c r="AG775" s="36"/>
      <c r="AH775" s="36"/>
      <c r="AI775" s="36"/>
      <c r="AK775" s="36"/>
      <c r="AL775" s="36"/>
    </row>
    <row r="776" customFormat="false" ht="15" hidden="false" customHeight="false" outlineLevel="0" collapsed="false">
      <c r="AG776" s="36"/>
      <c r="AH776" s="36"/>
      <c r="AI776" s="36"/>
      <c r="AK776" s="36"/>
      <c r="AL776" s="36"/>
    </row>
    <row r="777" customFormat="false" ht="15" hidden="false" customHeight="false" outlineLevel="0" collapsed="false">
      <c r="AG777" s="36"/>
      <c r="AH777" s="36"/>
      <c r="AI777" s="36"/>
      <c r="AK777" s="36"/>
      <c r="AL777" s="36"/>
    </row>
    <row r="778" customFormat="false" ht="15" hidden="false" customHeight="false" outlineLevel="0" collapsed="false">
      <c r="AG778" s="36"/>
      <c r="AH778" s="36"/>
      <c r="AI778" s="36"/>
      <c r="AK778" s="36"/>
      <c r="AL778" s="36"/>
    </row>
    <row r="779" customFormat="false" ht="15" hidden="false" customHeight="false" outlineLevel="0" collapsed="false">
      <c r="AG779" s="36"/>
      <c r="AH779" s="36"/>
      <c r="AI779" s="36"/>
      <c r="AK779" s="36"/>
      <c r="AL779" s="36"/>
    </row>
    <row r="780" customFormat="false" ht="15" hidden="false" customHeight="false" outlineLevel="0" collapsed="false">
      <c r="AG780" s="36"/>
      <c r="AH780" s="36"/>
      <c r="AI780" s="36"/>
      <c r="AK780" s="36"/>
      <c r="AL780" s="36"/>
    </row>
    <row r="781" customFormat="false" ht="15" hidden="false" customHeight="false" outlineLevel="0" collapsed="false">
      <c r="AG781" s="36"/>
      <c r="AH781" s="36"/>
      <c r="AI781" s="36"/>
      <c r="AK781" s="36"/>
      <c r="AL781" s="36"/>
    </row>
    <row r="782" customFormat="false" ht="15" hidden="false" customHeight="false" outlineLevel="0" collapsed="false">
      <c r="AG782" s="36"/>
      <c r="AH782" s="36"/>
      <c r="AI782" s="36"/>
      <c r="AK782" s="36"/>
      <c r="AL782" s="36"/>
    </row>
    <row r="783" customFormat="false" ht="15" hidden="false" customHeight="false" outlineLevel="0" collapsed="false">
      <c r="AG783" s="36"/>
      <c r="AH783" s="36"/>
      <c r="AI783" s="36"/>
      <c r="AK783" s="36"/>
      <c r="AL783" s="36"/>
    </row>
    <row r="784" customFormat="false" ht="15" hidden="false" customHeight="false" outlineLevel="0" collapsed="false">
      <c r="AG784" s="36"/>
      <c r="AH784" s="36"/>
      <c r="AI784" s="36"/>
      <c r="AK784" s="36"/>
      <c r="AL784" s="36"/>
    </row>
    <row r="785" customFormat="false" ht="15" hidden="false" customHeight="false" outlineLevel="0" collapsed="false">
      <c r="AG785" s="36"/>
      <c r="AH785" s="36"/>
      <c r="AI785" s="36"/>
      <c r="AK785" s="36"/>
      <c r="AL785" s="36"/>
    </row>
    <row r="786" customFormat="false" ht="15" hidden="false" customHeight="false" outlineLevel="0" collapsed="false">
      <c r="AG786" s="36"/>
      <c r="AH786" s="36"/>
      <c r="AI786" s="36"/>
      <c r="AK786" s="36"/>
      <c r="AL786" s="36"/>
    </row>
    <row r="787" customFormat="false" ht="15" hidden="false" customHeight="false" outlineLevel="0" collapsed="false">
      <c r="AG787" s="36"/>
      <c r="AH787" s="36"/>
      <c r="AI787" s="36"/>
      <c r="AK787" s="36"/>
      <c r="AL787" s="36"/>
    </row>
    <row r="788" customFormat="false" ht="15" hidden="false" customHeight="false" outlineLevel="0" collapsed="false">
      <c r="AG788" s="36"/>
      <c r="AH788" s="36"/>
      <c r="AI788" s="36"/>
      <c r="AK788" s="36"/>
      <c r="AL788" s="36"/>
    </row>
    <row r="789" customFormat="false" ht="15" hidden="false" customHeight="false" outlineLevel="0" collapsed="false">
      <c r="AG789" s="36"/>
      <c r="AH789" s="36"/>
      <c r="AI789" s="36"/>
      <c r="AK789" s="36"/>
      <c r="AL789" s="36"/>
    </row>
    <row r="790" customFormat="false" ht="15" hidden="false" customHeight="false" outlineLevel="0" collapsed="false">
      <c r="AG790" s="36"/>
      <c r="AH790" s="36"/>
      <c r="AI790" s="36"/>
      <c r="AK790" s="36"/>
      <c r="AL790" s="36"/>
    </row>
    <row r="791" customFormat="false" ht="15" hidden="false" customHeight="false" outlineLevel="0" collapsed="false">
      <c r="AG791" s="36"/>
      <c r="AH791" s="36"/>
      <c r="AI791" s="36"/>
      <c r="AK791" s="36"/>
      <c r="AL791" s="36"/>
    </row>
    <row r="792" customFormat="false" ht="15" hidden="false" customHeight="false" outlineLevel="0" collapsed="false">
      <c r="AG792" s="36"/>
      <c r="AH792" s="36"/>
      <c r="AI792" s="36"/>
      <c r="AK792" s="36"/>
      <c r="AL792" s="36"/>
    </row>
    <row r="793" customFormat="false" ht="15" hidden="false" customHeight="false" outlineLevel="0" collapsed="false">
      <c r="AG793" s="36"/>
      <c r="AH793" s="36"/>
      <c r="AI793" s="36"/>
      <c r="AK793" s="36"/>
      <c r="AL793" s="36"/>
    </row>
    <row r="794" customFormat="false" ht="15" hidden="false" customHeight="false" outlineLevel="0" collapsed="false">
      <c r="AG794" s="36"/>
      <c r="AH794" s="36"/>
      <c r="AI794" s="36"/>
      <c r="AK794" s="36"/>
      <c r="AL794" s="36"/>
    </row>
    <row r="795" customFormat="false" ht="15" hidden="false" customHeight="false" outlineLevel="0" collapsed="false">
      <c r="AG795" s="36"/>
      <c r="AH795" s="36"/>
      <c r="AI795" s="36"/>
      <c r="AK795" s="36"/>
      <c r="AL795" s="36"/>
    </row>
    <row r="796" customFormat="false" ht="15" hidden="false" customHeight="false" outlineLevel="0" collapsed="false">
      <c r="AG796" s="36"/>
      <c r="AH796" s="36"/>
      <c r="AI796" s="36"/>
      <c r="AK796" s="36"/>
      <c r="AL796" s="36"/>
    </row>
    <row r="797" customFormat="false" ht="15" hidden="false" customHeight="false" outlineLevel="0" collapsed="false">
      <c r="AG797" s="36"/>
      <c r="AH797" s="36"/>
      <c r="AI797" s="36"/>
      <c r="AK797" s="36"/>
      <c r="AL797" s="36"/>
    </row>
    <row r="798" customFormat="false" ht="15" hidden="false" customHeight="false" outlineLevel="0" collapsed="false">
      <c r="AG798" s="36"/>
      <c r="AH798" s="36"/>
      <c r="AI798" s="36"/>
      <c r="AK798" s="36"/>
      <c r="AL798" s="36"/>
    </row>
    <row r="799" customFormat="false" ht="15" hidden="false" customHeight="false" outlineLevel="0" collapsed="false">
      <c r="AG799" s="36"/>
      <c r="AH799" s="36"/>
      <c r="AI799" s="36"/>
      <c r="AK799" s="36"/>
      <c r="AL799" s="36"/>
    </row>
    <row r="800" customFormat="false" ht="15" hidden="false" customHeight="false" outlineLevel="0" collapsed="false">
      <c r="AG800" s="36"/>
      <c r="AH800" s="36"/>
      <c r="AI800" s="36"/>
      <c r="AK800" s="36"/>
      <c r="AL800" s="36"/>
    </row>
    <row r="801" customFormat="false" ht="15" hidden="false" customHeight="false" outlineLevel="0" collapsed="false">
      <c r="AG801" s="36"/>
      <c r="AH801" s="36"/>
      <c r="AI801" s="36"/>
      <c r="AK801" s="36"/>
      <c r="AL801" s="36"/>
    </row>
    <row r="802" customFormat="false" ht="15" hidden="false" customHeight="false" outlineLevel="0" collapsed="false">
      <c r="AG802" s="36"/>
      <c r="AH802" s="36"/>
      <c r="AI802" s="36"/>
      <c r="AK802" s="36"/>
      <c r="AL802" s="36"/>
    </row>
    <row r="803" customFormat="false" ht="15" hidden="false" customHeight="false" outlineLevel="0" collapsed="false">
      <c r="AG803" s="36"/>
      <c r="AH803" s="36"/>
      <c r="AI803" s="36"/>
      <c r="AK803" s="36"/>
      <c r="AL803" s="36"/>
    </row>
    <row r="804" customFormat="false" ht="15" hidden="false" customHeight="false" outlineLevel="0" collapsed="false">
      <c r="AG804" s="36"/>
      <c r="AH804" s="36"/>
      <c r="AI804" s="36"/>
      <c r="AK804" s="36"/>
      <c r="AL804" s="36"/>
    </row>
    <row r="805" customFormat="false" ht="15" hidden="false" customHeight="false" outlineLevel="0" collapsed="false">
      <c r="AG805" s="36"/>
      <c r="AH805" s="36"/>
      <c r="AI805" s="36"/>
      <c r="AK805" s="36"/>
      <c r="AL805" s="36"/>
    </row>
    <row r="806" customFormat="false" ht="15" hidden="false" customHeight="false" outlineLevel="0" collapsed="false">
      <c r="AG806" s="36"/>
      <c r="AH806" s="36"/>
      <c r="AI806" s="36"/>
      <c r="AK806" s="36"/>
      <c r="AL806" s="36"/>
    </row>
    <row r="807" customFormat="false" ht="15" hidden="false" customHeight="false" outlineLevel="0" collapsed="false">
      <c r="AG807" s="36"/>
      <c r="AH807" s="36"/>
      <c r="AI807" s="36"/>
      <c r="AK807" s="36"/>
      <c r="AL807" s="36"/>
    </row>
    <row r="808" customFormat="false" ht="15" hidden="false" customHeight="false" outlineLevel="0" collapsed="false">
      <c r="AG808" s="36"/>
      <c r="AH808" s="36"/>
      <c r="AI808" s="36"/>
      <c r="AK808" s="36"/>
      <c r="AL808" s="36"/>
    </row>
    <row r="809" customFormat="false" ht="15" hidden="false" customHeight="false" outlineLevel="0" collapsed="false">
      <c r="AG809" s="36"/>
      <c r="AH809" s="36"/>
      <c r="AI809" s="36"/>
      <c r="AK809" s="36"/>
      <c r="AL809" s="36"/>
    </row>
    <row r="810" customFormat="false" ht="15" hidden="false" customHeight="false" outlineLevel="0" collapsed="false">
      <c r="AG810" s="36"/>
      <c r="AH810" s="36"/>
      <c r="AI810" s="36"/>
      <c r="AK810" s="36"/>
      <c r="AL810" s="36"/>
    </row>
    <row r="811" customFormat="false" ht="15" hidden="false" customHeight="false" outlineLevel="0" collapsed="false">
      <c r="AG811" s="36"/>
      <c r="AH811" s="36"/>
      <c r="AI811" s="36"/>
      <c r="AK811" s="36"/>
      <c r="AL811" s="36"/>
    </row>
    <row r="812" customFormat="false" ht="15" hidden="false" customHeight="false" outlineLevel="0" collapsed="false">
      <c r="AG812" s="36"/>
      <c r="AH812" s="36"/>
      <c r="AI812" s="36"/>
      <c r="AK812" s="36"/>
      <c r="AL812" s="36"/>
    </row>
    <row r="813" customFormat="false" ht="15" hidden="false" customHeight="false" outlineLevel="0" collapsed="false">
      <c r="AG813" s="36"/>
      <c r="AH813" s="36"/>
      <c r="AI813" s="36"/>
      <c r="AK813" s="36"/>
      <c r="AL813" s="36"/>
    </row>
    <row r="814" customFormat="false" ht="15" hidden="false" customHeight="false" outlineLevel="0" collapsed="false">
      <c r="AG814" s="36"/>
      <c r="AH814" s="36"/>
      <c r="AI814" s="36"/>
      <c r="AK814" s="36"/>
      <c r="AL814" s="36"/>
    </row>
    <row r="815" customFormat="false" ht="15" hidden="false" customHeight="false" outlineLevel="0" collapsed="false">
      <c r="AG815" s="36"/>
      <c r="AH815" s="36"/>
      <c r="AI815" s="36"/>
      <c r="AK815" s="36"/>
      <c r="AL815" s="36"/>
    </row>
    <row r="816" customFormat="false" ht="15" hidden="false" customHeight="false" outlineLevel="0" collapsed="false">
      <c r="AG816" s="36"/>
      <c r="AH816" s="36"/>
      <c r="AI816" s="36"/>
      <c r="AK816" s="36"/>
      <c r="AL816" s="36"/>
    </row>
    <row r="817" customFormat="false" ht="15" hidden="false" customHeight="false" outlineLevel="0" collapsed="false">
      <c r="AG817" s="36"/>
      <c r="AH817" s="36"/>
      <c r="AI817" s="36"/>
      <c r="AK817" s="36"/>
      <c r="AL817" s="36"/>
    </row>
    <row r="818" customFormat="false" ht="15" hidden="false" customHeight="false" outlineLevel="0" collapsed="false">
      <c r="AG818" s="36"/>
      <c r="AH818" s="36"/>
      <c r="AI818" s="36"/>
      <c r="AK818" s="36"/>
      <c r="AL818" s="36"/>
    </row>
    <row r="819" customFormat="false" ht="15" hidden="false" customHeight="false" outlineLevel="0" collapsed="false">
      <c r="AG819" s="36"/>
      <c r="AH819" s="36"/>
      <c r="AI819" s="36"/>
      <c r="AK819" s="36"/>
      <c r="AL819" s="36"/>
    </row>
    <row r="820" customFormat="false" ht="15" hidden="false" customHeight="false" outlineLevel="0" collapsed="false">
      <c r="AG820" s="36"/>
      <c r="AH820" s="36"/>
      <c r="AI820" s="36"/>
      <c r="AK820" s="36"/>
      <c r="AL820" s="36"/>
    </row>
    <row r="821" customFormat="false" ht="15" hidden="false" customHeight="false" outlineLevel="0" collapsed="false">
      <c r="AG821" s="36"/>
      <c r="AH821" s="36"/>
      <c r="AI821" s="36"/>
      <c r="AK821" s="36"/>
      <c r="AL821" s="36"/>
    </row>
    <row r="822" customFormat="false" ht="15" hidden="false" customHeight="false" outlineLevel="0" collapsed="false">
      <c r="AG822" s="36"/>
      <c r="AH822" s="36"/>
      <c r="AI822" s="36"/>
      <c r="AK822" s="36"/>
      <c r="AL822" s="36"/>
    </row>
    <row r="823" customFormat="false" ht="15" hidden="false" customHeight="false" outlineLevel="0" collapsed="false">
      <c r="AG823" s="36"/>
      <c r="AH823" s="36"/>
      <c r="AI823" s="36"/>
      <c r="AK823" s="36"/>
      <c r="AL823" s="36"/>
    </row>
    <row r="824" customFormat="false" ht="15" hidden="false" customHeight="false" outlineLevel="0" collapsed="false">
      <c r="AG824" s="36"/>
      <c r="AH824" s="36"/>
      <c r="AI824" s="36"/>
      <c r="AK824" s="36"/>
      <c r="AL824" s="36"/>
    </row>
    <row r="825" customFormat="false" ht="15" hidden="false" customHeight="false" outlineLevel="0" collapsed="false">
      <c r="AG825" s="36"/>
      <c r="AH825" s="36"/>
      <c r="AI825" s="36"/>
      <c r="AK825" s="36"/>
      <c r="AL825" s="36"/>
    </row>
    <row r="826" customFormat="false" ht="15" hidden="false" customHeight="false" outlineLevel="0" collapsed="false">
      <c r="AG826" s="36"/>
      <c r="AH826" s="36"/>
      <c r="AI826" s="36"/>
      <c r="AK826" s="36"/>
      <c r="AL826" s="36"/>
    </row>
    <row r="827" customFormat="false" ht="15" hidden="false" customHeight="false" outlineLevel="0" collapsed="false">
      <c r="AG827" s="36"/>
      <c r="AH827" s="36"/>
      <c r="AI827" s="36"/>
      <c r="AK827" s="36"/>
      <c r="AL827" s="36"/>
    </row>
    <row r="828" customFormat="false" ht="15" hidden="false" customHeight="false" outlineLevel="0" collapsed="false">
      <c r="AG828" s="36"/>
      <c r="AH828" s="36"/>
      <c r="AI828" s="36"/>
      <c r="AK828" s="36"/>
      <c r="AL828" s="36"/>
    </row>
    <row r="829" customFormat="false" ht="15" hidden="false" customHeight="false" outlineLevel="0" collapsed="false">
      <c r="AG829" s="36"/>
      <c r="AH829" s="36"/>
      <c r="AI829" s="36"/>
      <c r="AK829" s="36"/>
      <c r="AL829" s="36"/>
    </row>
    <row r="830" customFormat="false" ht="15" hidden="false" customHeight="false" outlineLevel="0" collapsed="false">
      <c r="AG830" s="36"/>
      <c r="AH830" s="36"/>
      <c r="AI830" s="36"/>
      <c r="AK830" s="36"/>
      <c r="AL830" s="36"/>
    </row>
    <row r="831" customFormat="false" ht="15" hidden="false" customHeight="false" outlineLevel="0" collapsed="false">
      <c r="AG831" s="36"/>
      <c r="AH831" s="36"/>
      <c r="AI831" s="36"/>
      <c r="AK831" s="36"/>
      <c r="AL831" s="36"/>
    </row>
    <row r="832" customFormat="false" ht="15" hidden="false" customHeight="false" outlineLevel="0" collapsed="false">
      <c r="AG832" s="36"/>
      <c r="AH832" s="36"/>
      <c r="AI832" s="36"/>
      <c r="AK832" s="36"/>
      <c r="AL832" s="36"/>
    </row>
    <row r="833" customFormat="false" ht="15" hidden="false" customHeight="false" outlineLevel="0" collapsed="false">
      <c r="AG833" s="36"/>
      <c r="AH833" s="36"/>
      <c r="AI833" s="36"/>
      <c r="AK833" s="36"/>
      <c r="AL833" s="36"/>
    </row>
    <row r="834" customFormat="false" ht="15" hidden="false" customHeight="false" outlineLevel="0" collapsed="false">
      <c r="AG834" s="36"/>
      <c r="AH834" s="36"/>
      <c r="AI834" s="36"/>
      <c r="AK834" s="36"/>
      <c r="AL834" s="36"/>
    </row>
    <row r="835" customFormat="false" ht="15" hidden="false" customHeight="false" outlineLevel="0" collapsed="false">
      <c r="AG835" s="36"/>
      <c r="AH835" s="36"/>
      <c r="AI835" s="36"/>
      <c r="AK835" s="36"/>
      <c r="AL835" s="36"/>
    </row>
    <row r="836" customFormat="false" ht="15" hidden="false" customHeight="false" outlineLevel="0" collapsed="false">
      <c r="AG836" s="36"/>
      <c r="AH836" s="36"/>
      <c r="AI836" s="36"/>
      <c r="AK836" s="36"/>
      <c r="AL836" s="36"/>
    </row>
    <row r="837" customFormat="false" ht="15" hidden="false" customHeight="false" outlineLevel="0" collapsed="false">
      <c r="AG837" s="36"/>
      <c r="AH837" s="36"/>
      <c r="AI837" s="36"/>
      <c r="AK837" s="36"/>
      <c r="AL837" s="36"/>
    </row>
    <row r="838" customFormat="false" ht="15" hidden="false" customHeight="false" outlineLevel="0" collapsed="false">
      <c r="AG838" s="36"/>
      <c r="AH838" s="36"/>
      <c r="AI838" s="36"/>
      <c r="AK838" s="36"/>
      <c r="AL838" s="36"/>
    </row>
    <row r="839" customFormat="false" ht="15" hidden="false" customHeight="false" outlineLevel="0" collapsed="false">
      <c r="AG839" s="36"/>
      <c r="AH839" s="36"/>
      <c r="AI839" s="36"/>
      <c r="AK839" s="36"/>
      <c r="AL839" s="36"/>
    </row>
    <row r="840" customFormat="false" ht="15" hidden="false" customHeight="false" outlineLevel="0" collapsed="false">
      <c r="AG840" s="36"/>
      <c r="AH840" s="36"/>
      <c r="AI840" s="36"/>
      <c r="AK840" s="36"/>
      <c r="AL840" s="36"/>
    </row>
    <row r="841" customFormat="false" ht="15" hidden="false" customHeight="false" outlineLevel="0" collapsed="false">
      <c r="AG841" s="36"/>
      <c r="AH841" s="36"/>
      <c r="AI841" s="36"/>
      <c r="AK841" s="36"/>
      <c r="AL841" s="36"/>
    </row>
    <row r="842" customFormat="false" ht="15" hidden="false" customHeight="false" outlineLevel="0" collapsed="false">
      <c r="AG842" s="36"/>
      <c r="AH842" s="36"/>
      <c r="AI842" s="36"/>
      <c r="AK842" s="36"/>
      <c r="AL842" s="36"/>
    </row>
    <row r="843" customFormat="false" ht="15" hidden="false" customHeight="false" outlineLevel="0" collapsed="false">
      <c r="AG843" s="36"/>
      <c r="AH843" s="36"/>
      <c r="AI843" s="36"/>
      <c r="AK843" s="36"/>
      <c r="AL843" s="36"/>
    </row>
    <row r="844" customFormat="false" ht="15" hidden="false" customHeight="false" outlineLevel="0" collapsed="false">
      <c r="AG844" s="36"/>
      <c r="AH844" s="36"/>
      <c r="AI844" s="36"/>
      <c r="AK844" s="36"/>
      <c r="AL844" s="36"/>
    </row>
    <row r="845" customFormat="false" ht="15" hidden="false" customHeight="false" outlineLevel="0" collapsed="false">
      <c r="AG845" s="36"/>
      <c r="AH845" s="36"/>
      <c r="AI845" s="36"/>
      <c r="AK845" s="36"/>
      <c r="AL845" s="36"/>
    </row>
    <row r="846" customFormat="false" ht="15" hidden="false" customHeight="false" outlineLevel="0" collapsed="false">
      <c r="AG846" s="36"/>
      <c r="AH846" s="36"/>
      <c r="AI846" s="36"/>
      <c r="AK846" s="36"/>
      <c r="AL846" s="36"/>
    </row>
    <row r="847" customFormat="false" ht="15" hidden="false" customHeight="false" outlineLevel="0" collapsed="false">
      <c r="AG847" s="36"/>
      <c r="AH847" s="36"/>
      <c r="AI847" s="36"/>
      <c r="AK847" s="36"/>
      <c r="AL847" s="36"/>
    </row>
    <row r="848" customFormat="false" ht="15" hidden="false" customHeight="false" outlineLevel="0" collapsed="false">
      <c r="AG848" s="36"/>
      <c r="AH848" s="36"/>
      <c r="AI848" s="36"/>
      <c r="AK848" s="36"/>
      <c r="AL848" s="36"/>
    </row>
    <row r="849" customFormat="false" ht="15" hidden="false" customHeight="false" outlineLevel="0" collapsed="false">
      <c r="AG849" s="36"/>
      <c r="AH849" s="36"/>
      <c r="AI849" s="36"/>
      <c r="AK849" s="36"/>
      <c r="AL849" s="36"/>
    </row>
    <row r="850" customFormat="false" ht="15" hidden="false" customHeight="false" outlineLevel="0" collapsed="false">
      <c r="AG850" s="36"/>
      <c r="AH850" s="36"/>
      <c r="AI850" s="36"/>
      <c r="AK850" s="36"/>
      <c r="AL850" s="36"/>
    </row>
    <row r="851" customFormat="false" ht="15" hidden="false" customHeight="false" outlineLevel="0" collapsed="false">
      <c r="AG851" s="36"/>
      <c r="AH851" s="36"/>
      <c r="AI851" s="36"/>
      <c r="AK851" s="36"/>
      <c r="AL851" s="36"/>
    </row>
    <row r="852" customFormat="false" ht="15" hidden="false" customHeight="false" outlineLevel="0" collapsed="false">
      <c r="AG852" s="36"/>
      <c r="AH852" s="36"/>
      <c r="AI852" s="36"/>
      <c r="AK852" s="36"/>
      <c r="AL852" s="36"/>
    </row>
    <row r="853" customFormat="false" ht="15" hidden="false" customHeight="false" outlineLevel="0" collapsed="false">
      <c r="AG853" s="36"/>
      <c r="AH853" s="36"/>
      <c r="AI853" s="36"/>
      <c r="AK853" s="36"/>
      <c r="AL853" s="36"/>
    </row>
    <row r="854" customFormat="false" ht="15" hidden="false" customHeight="false" outlineLevel="0" collapsed="false">
      <c r="AG854" s="36"/>
      <c r="AH854" s="36"/>
      <c r="AI854" s="36"/>
      <c r="AK854" s="36"/>
      <c r="AL854" s="36"/>
    </row>
    <row r="855" customFormat="false" ht="15" hidden="false" customHeight="false" outlineLevel="0" collapsed="false">
      <c r="AG855" s="36"/>
      <c r="AH855" s="36"/>
      <c r="AI855" s="36"/>
      <c r="AK855" s="36"/>
      <c r="AL855" s="36"/>
    </row>
    <row r="856" customFormat="false" ht="15" hidden="false" customHeight="false" outlineLevel="0" collapsed="false">
      <c r="AG856" s="36"/>
      <c r="AH856" s="36"/>
      <c r="AI856" s="36"/>
      <c r="AK856" s="36"/>
      <c r="AL856" s="36"/>
    </row>
    <row r="857" customFormat="false" ht="15" hidden="false" customHeight="false" outlineLevel="0" collapsed="false">
      <c r="AG857" s="36"/>
      <c r="AH857" s="36"/>
      <c r="AI857" s="36"/>
      <c r="AK857" s="36"/>
      <c r="AL857" s="36"/>
    </row>
    <row r="858" customFormat="false" ht="15" hidden="false" customHeight="false" outlineLevel="0" collapsed="false">
      <c r="AG858" s="36"/>
      <c r="AH858" s="36"/>
      <c r="AI858" s="36"/>
      <c r="AK858" s="36"/>
      <c r="AL858" s="36"/>
    </row>
    <row r="859" customFormat="false" ht="15" hidden="false" customHeight="false" outlineLevel="0" collapsed="false">
      <c r="AG859" s="36"/>
      <c r="AH859" s="36"/>
      <c r="AI859" s="36"/>
      <c r="AK859" s="36"/>
      <c r="AL859" s="36"/>
    </row>
    <row r="860" customFormat="false" ht="15" hidden="false" customHeight="false" outlineLevel="0" collapsed="false">
      <c r="AG860" s="36"/>
      <c r="AH860" s="36"/>
      <c r="AI860" s="36"/>
      <c r="AK860" s="36"/>
      <c r="AL860" s="36"/>
    </row>
    <row r="861" customFormat="false" ht="15" hidden="false" customHeight="false" outlineLevel="0" collapsed="false">
      <c r="AG861" s="36"/>
      <c r="AH861" s="36"/>
      <c r="AI861" s="36"/>
      <c r="AK861" s="36"/>
      <c r="AL861" s="36"/>
    </row>
    <row r="862" customFormat="false" ht="15" hidden="false" customHeight="false" outlineLevel="0" collapsed="false">
      <c r="AG862" s="36"/>
      <c r="AH862" s="36"/>
      <c r="AI862" s="36"/>
      <c r="AK862" s="36"/>
      <c r="AL862" s="36"/>
    </row>
    <row r="863" customFormat="false" ht="15" hidden="false" customHeight="false" outlineLevel="0" collapsed="false">
      <c r="AG863" s="36"/>
      <c r="AH863" s="36"/>
      <c r="AI863" s="36"/>
      <c r="AK863" s="36"/>
      <c r="AL863" s="36"/>
    </row>
    <row r="864" customFormat="false" ht="15" hidden="false" customHeight="false" outlineLevel="0" collapsed="false">
      <c r="AG864" s="36"/>
      <c r="AH864" s="36"/>
      <c r="AI864" s="36"/>
      <c r="AK864" s="36"/>
      <c r="AL864" s="36"/>
    </row>
    <row r="865" customFormat="false" ht="15" hidden="false" customHeight="false" outlineLevel="0" collapsed="false">
      <c r="AG865" s="36"/>
      <c r="AH865" s="36"/>
      <c r="AI865" s="36"/>
      <c r="AK865" s="36"/>
      <c r="AL865" s="36"/>
    </row>
    <row r="866" customFormat="false" ht="15" hidden="false" customHeight="false" outlineLevel="0" collapsed="false">
      <c r="AG866" s="36"/>
      <c r="AH866" s="36"/>
      <c r="AI866" s="36"/>
      <c r="AK866" s="36"/>
      <c r="AL866" s="36"/>
    </row>
    <row r="867" customFormat="false" ht="15" hidden="false" customHeight="false" outlineLevel="0" collapsed="false">
      <c r="AG867" s="36"/>
      <c r="AH867" s="36"/>
      <c r="AI867" s="36"/>
      <c r="AK867" s="36"/>
      <c r="AL867" s="36"/>
    </row>
    <row r="868" customFormat="false" ht="15" hidden="false" customHeight="false" outlineLevel="0" collapsed="false">
      <c r="AG868" s="36"/>
      <c r="AH868" s="36"/>
      <c r="AI868" s="36"/>
      <c r="AK868" s="36"/>
      <c r="AL868" s="36"/>
    </row>
    <row r="869" customFormat="false" ht="15" hidden="false" customHeight="false" outlineLevel="0" collapsed="false">
      <c r="AG869" s="36"/>
      <c r="AH869" s="36"/>
      <c r="AI869" s="36"/>
      <c r="AK869" s="36"/>
      <c r="AL869" s="36"/>
    </row>
    <row r="870" customFormat="false" ht="15" hidden="false" customHeight="false" outlineLevel="0" collapsed="false">
      <c r="AG870" s="36"/>
      <c r="AH870" s="36"/>
      <c r="AI870" s="36"/>
      <c r="AK870" s="36"/>
      <c r="AL870" s="36"/>
    </row>
    <row r="871" customFormat="false" ht="15" hidden="false" customHeight="false" outlineLevel="0" collapsed="false">
      <c r="AG871" s="36"/>
      <c r="AH871" s="36"/>
      <c r="AI871" s="36"/>
      <c r="AK871" s="36"/>
      <c r="AL871" s="36"/>
    </row>
    <row r="872" customFormat="false" ht="15" hidden="false" customHeight="false" outlineLevel="0" collapsed="false">
      <c r="AG872" s="36"/>
      <c r="AH872" s="36"/>
      <c r="AI872" s="36"/>
      <c r="AK872" s="36"/>
      <c r="AL872" s="36"/>
    </row>
    <row r="873" customFormat="false" ht="15" hidden="false" customHeight="false" outlineLevel="0" collapsed="false">
      <c r="AG873" s="36"/>
      <c r="AH873" s="36"/>
      <c r="AI873" s="36"/>
      <c r="AK873" s="36"/>
      <c r="AL873" s="36"/>
    </row>
    <row r="874" customFormat="false" ht="15" hidden="false" customHeight="false" outlineLevel="0" collapsed="false">
      <c r="AG874" s="36"/>
      <c r="AH874" s="36"/>
      <c r="AI874" s="36"/>
      <c r="AK874" s="36"/>
      <c r="AL874" s="36"/>
    </row>
    <row r="875" customFormat="false" ht="15" hidden="false" customHeight="false" outlineLevel="0" collapsed="false">
      <c r="AG875" s="36"/>
      <c r="AH875" s="36"/>
      <c r="AI875" s="36"/>
      <c r="AK875" s="36"/>
      <c r="AL875" s="36"/>
    </row>
    <row r="876" customFormat="false" ht="15" hidden="false" customHeight="false" outlineLevel="0" collapsed="false">
      <c r="AG876" s="36"/>
      <c r="AH876" s="36"/>
      <c r="AI876" s="36"/>
      <c r="AK876" s="36"/>
      <c r="AL876" s="36"/>
    </row>
    <row r="877" customFormat="false" ht="15" hidden="false" customHeight="false" outlineLevel="0" collapsed="false">
      <c r="AG877" s="36"/>
      <c r="AH877" s="36"/>
      <c r="AI877" s="36"/>
      <c r="AK877" s="36"/>
      <c r="AL877" s="36"/>
    </row>
    <row r="878" customFormat="false" ht="15" hidden="false" customHeight="false" outlineLevel="0" collapsed="false">
      <c r="AG878" s="36"/>
      <c r="AH878" s="36"/>
      <c r="AI878" s="36"/>
      <c r="AK878" s="36"/>
      <c r="AL878" s="36"/>
    </row>
    <row r="879" customFormat="false" ht="15" hidden="false" customHeight="false" outlineLevel="0" collapsed="false">
      <c r="AG879" s="36"/>
      <c r="AH879" s="36"/>
      <c r="AI879" s="36"/>
      <c r="AK879" s="36"/>
      <c r="AL879" s="36"/>
    </row>
    <row r="880" customFormat="false" ht="15" hidden="false" customHeight="false" outlineLevel="0" collapsed="false">
      <c r="AG880" s="36"/>
      <c r="AH880" s="36"/>
      <c r="AI880" s="36"/>
      <c r="AK880" s="36"/>
      <c r="AL880" s="36"/>
    </row>
    <row r="881" customFormat="false" ht="15" hidden="false" customHeight="false" outlineLevel="0" collapsed="false">
      <c r="AG881" s="36"/>
      <c r="AH881" s="36"/>
      <c r="AI881" s="36"/>
      <c r="AK881" s="36"/>
      <c r="AL881" s="36"/>
    </row>
    <row r="882" customFormat="false" ht="15" hidden="false" customHeight="false" outlineLevel="0" collapsed="false">
      <c r="AG882" s="36"/>
      <c r="AH882" s="36"/>
      <c r="AI882" s="36"/>
      <c r="AK882" s="36"/>
      <c r="AL882" s="36"/>
    </row>
    <row r="883" customFormat="false" ht="15" hidden="false" customHeight="false" outlineLevel="0" collapsed="false">
      <c r="AG883" s="36"/>
      <c r="AH883" s="36"/>
      <c r="AI883" s="36"/>
      <c r="AK883" s="36"/>
      <c r="AL883" s="36"/>
    </row>
    <row r="884" customFormat="false" ht="15" hidden="false" customHeight="false" outlineLevel="0" collapsed="false">
      <c r="AG884" s="36"/>
      <c r="AH884" s="36"/>
      <c r="AI884" s="36"/>
      <c r="AK884" s="36"/>
      <c r="AL884" s="36"/>
    </row>
    <row r="885" customFormat="false" ht="15" hidden="false" customHeight="false" outlineLevel="0" collapsed="false">
      <c r="AG885" s="36"/>
      <c r="AH885" s="36"/>
      <c r="AI885" s="36"/>
      <c r="AK885" s="36"/>
      <c r="AL885" s="36"/>
    </row>
    <row r="886" customFormat="false" ht="15" hidden="false" customHeight="false" outlineLevel="0" collapsed="false">
      <c r="AG886" s="36"/>
      <c r="AH886" s="36"/>
      <c r="AI886" s="36"/>
      <c r="AK886" s="36"/>
      <c r="AL886" s="36"/>
    </row>
    <row r="887" customFormat="false" ht="15" hidden="false" customHeight="false" outlineLevel="0" collapsed="false">
      <c r="AG887" s="36"/>
      <c r="AH887" s="36"/>
      <c r="AI887" s="36"/>
      <c r="AK887" s="36"/>
      <c r="AL887" s="36"/>
    </row>
    <row r="888" customFormat="false" ht="15" hidden="false" customHeight="false" outlineLevel="0" collapsed="false">
      <c r="AG888" s="36"/>
      <c r="AH888" s="36"/>
      <c r="AI888" s="36"/>
      <c r="AK888" s="36"/>
      <c r="AL888" s="36"/>
    </row>
    <row r="889" customFormat="false" ht="15" hidden="false" customHeight="false" outlineLevel="0" collapsed="false">
      <c r="AG889" s="36"/>
      <c r="AH889" s="36"/>
      <c r="AI889" s="36"/>
      <c r="AK889" s="36"/>
      <c r="AL889" s="36"/>
    </row>
    <row r="890" customFormat="false" ht="15" hidden="false" customHeight="false" outlineLevel="0" collapsed="false">
      <c r="AG890" s="36"/>
      <c r="AH890" s="36"/>
      <c r="AI890" s="36"/>
      <c r="AK890" s="36"/>
      <c r="AL890" s="36"/>
    </row>
    <row r="891" customFormat="false" ht="15" hidden="false" customHeight="false" outlineLevel="0" collapsed="false">
      <c r="AG891" s="36"/>
      <c r="AH891" s="36"/>
      <c r="AI891" s="36"/>
      <c r="AK891" s="36"/>
      <c r="AL891" s="36"/>
    </row>
    <row r="892" customFormat="false" ht="15" hidden="false" customHeight="false" outlineLevel="0" collapsed="false">
      <c r="AG892" s="36"/>
      <c r="AH892" s="36"/>
      <c r="AI892" s="36"/>
      <c r="AK892" s="36"/>
      <c r="AL892" s="36"/>
    </row>
    <row r="893" customFormat="false" ht="15" hidden="false" customHeight="false" outlineLevel="0" collapsed="false">
      <c r="AG893" s="36"/>
      <c r="AH893" s="36"/>
      <c r="AI893" s="36"/>
      <c r="AK893" s="36"/>
      <c r="AL893" s="36"/>
    </row>
    <row r="894" customFormat="false" ht="15" hidden="false" customHeight="false" outlineLevel="0" collapsed="false">
      <c r="AG894" s="36"/>
      <c r="AH894" s="36"/>
      <c r="AI894" s="36"/>
      <c r="AK894" s="36"/>
      <c r="AL894" s="36"/>
    </row>
    <row r="895" customFormat="false" ht="15" hidden="false" customHeight="false" outlineLevel="0" collapsed="false">
      <c r="AG895" s="36"/>
      <c r="AH895" s="36"/>
      <c r="AI895" s="36"/>
      <c r="AK895" s="36"/>
      <c r="AL895" s="36"/>
    </row>
    <row r="896" customFormat="false" ht="15" hidden="false" customHeight="false" outlineLevel="0" collapsed="false">
      <c r="AG896" s="36"/>
      <c r="AH896" s="36"/>
      <c r="AI896" s="36"/>
      <c r="AK896" s="36"/>
      <c r="AL896" s="36"/>
    </row>
    <row r="897" customFormat="false" ht="15" hidden="false" customHeight="false" outlineLevel="0" collapsed="false">
      <c r="AG897" s="36"/>
      <c r="AH897" s="36"/>
      <c r="AI897" s="36"/>
      <c r="AK897" s="36"/>
      <c r="AL897" s="36"/>
    </row>
    <row r="898" customFormat="false" ht="15" hidden="false" customHeight="false" outlineLevel="0" collapsed="false">
      <c r="AG898" s="36"/>
      <c r="AH898" s="36"/>
      <c r="AI898" s="36"/>
      <c r="AK898" s="36"/>
      <c r="AL898" s="36"/>
    </row>
    <row r="899" customFormat="false" ht="15" hidden="false" customHeight="false" outlineLevel="0" collapsed="false">
      <c r="AG899" s="36"/>
      <c r="AH899" s="36"/>
      <c r="AI899" s="36"/>
      <c r="AK899" s="36"/>
      <c r="AL899" s="36"/>
    </row>
    <row r="900" customFormat="false" ht="15" hidden="false" customHeight="false" outlineLevel="0" collapsed="false">
      <c r="AG900" s="36"/>
      <c r="AH900" s="36"/>
      <c r="AI900" s="36"/>
      <c r="AK900" s="36"/>
      <c r="AL900" s="36"/>
    </row>
    <row r="901" customFormat="false" ht="15" hidden="false" customHeight="false" outlineLevel="0" collapsed="false">
      <c r="AG901" s="36"/>
      <c r="AH901" s="36"/>
      <c r="AI901" s="36"/>
      <c r="AK901" s="36"/>
      <c r="AL901" s="36"/>
    </row>
    <row r="902" customFormat="false" ht="15" hidden="false" customHeight="false" outlineLevel="0" collapsed="false">
      <c r="AG902" s="36"/>
      <c r="AH902" s="36"/>
      <c r="AI902" s="36"/>
      <c r="AK902" s="36"/>
      <c r="AL902" s="36"/>
    </row>
    <row r="903" customFormat="false" ht="15" hidden="false" customHeight="false" outlineLevel="0" collapsed="false">
      <c r="AG903" s="36"/>
      <c r="AH903" s="36"/>
      <c r="AI903" s="36"/>
      <c r="AK903" s="36"/>
      <c r="AL903" s="36"/>
    </row>
    <row r="904" customFormat="false" ht="15" hidden="false" customHeight="false" outlineLevel="0" collapsed="false">
      <c r="AG904" s="36"/>
      <c r="AH904" s="36"/>
      <c r="AI904" s="36"/>
      <c r="AK904" s="36"/>
      <c r="AL904" s="36"/>
    </row>
    <row r="905" customFormat="false" ht="15" hidden="false" customHeight="false" outlineLevel="0" collapsed="false">
      <c r="AG905" s="36"/>
      <c r="AH905" s="36"/>
      <c r="AI905" s="36"/>
      <c r="AK905" s="36"/>
      <c r="AL905" s="36"/>
    </row>
    <row r="906" customFormat="false" ht="15" hidden="false" customHeight="false" outlineLevel="0" collapsed="false">
      <c r="AG906" s="36"/>
      <c r="AH906" s="36"/>
      <c r="AI906" s="36"/>
      <c r="AK906" s="36"/>
      <c r="AL906" s="36"/>
    </row>
    <row r="907" customFormat="false" ht="15" hidden="false" customHeight="false" outlineLevel="0" collapsed="false">
      <c r="AG907" s="36"/>
      <c r="AH907" s="36"/>
      <c r="AI907" s="36"/>
      <c r="AK907" s="36"/>
      <c r="AL907" s="36"/>
    </row>
    <row r="908" customFormat="false" ht="15" hidden="false" customHeight="false" outlineLevel="0" collapsed="false">
      <c r="AG908" s="36"/>
      <c r="AH908" s="36"/>
      <c r="AI908" s="36"/>
      <c r="AK908" s="36"/>
      <c r="AL908" s="36"/>
    </row>
    <row r="909" customFormat="false" ht="15" hidden="false" customHeight="false" outlineLevel="0" collapsed="false">
      <c r="AG909" s="36"/>
      <c r="AH909" s="36"/>
      <c r="AI909" s="36"/>
      <c r="AK909" s="36"/>
      <c r="AL909" s="36"/>
    </row>
    <row r="910" customFormat="false" ht="15" hidden="false" customHeight="false" outlineLevel="0" collapsed="false">
      <c r="AG910" s="36"/>
      <c r="AH910" s="36"/>
      <c r="AI910" s="36"/>
      <c r="AK910" s="36"/>
      <c r="AL910" s="36"/>
    </row>
    <row r="911" customFormat="false" ht="15" hidden="false" customHeight="false" outlineLevel="0" collapsed="false">
      <c r="AG911" s="36"/>
      <c r="AH911" s="36"/>
      <c r="AI911" s="36"/>
      <c r="AK911" s="36"/>
      <c r="AL911" s="36"/>
    </row>
    <row r="912" customFormat="false" ht="15" hidden="false" customHeight="false" outlineLevel="0" collapsed="false">
      <c r="AG912" s="36"/>
      <c r="AH912" s="36"/>
      <c r="AI912" s="36"/>
      <c r="AK912" s="36"/>
      <c r="AL912" s="36"/>
    </row>
    <row r="913" customFormat="false" ht="15" hidden="false" customHeight="false" outlineLevel="0" collapsed="false">
      <c r="AG913" s="36"/>
      <c r="AH913" s="36"/>
      <c r="AI913" s="36"/>
      <c r="AK913" s="36"/>
      <c r="AL913" s="36"/>
    </row>
    <row r="914" customFormat="false" ht="15" hidden="false" customHeight="false" outlineLevel="0" collapsed="false">
      <c r="AG914" s="36"/>
      <c r="AH914" s="36"/>
      <c r="AI914" s="36"/>
      <c r="AK914" s="36"/>
      <c r="AL914" s="36"/>
    </row>
    <row r="915" customFormat="false" ht="15" hidden="false" customHeight="false" outlineLevel="0" collapsed="false">
      <c r="AG915" s="36"/>
      <c r="AH915" s="36"/>
      <c r="AI915" s="36"/>
      <c r="AK915" s="36"/>
      <c r="AL915" s="36"/>
    </row>
    <row r="916" customFormat="false" ht="15" hidden="false" customHeight="false" outlineLevel="0" collapsed="false">
      <c r="AG916" s="36"/>
      <c r="AH916" s="36"/>
      <c r="AI916" s="36"/>
      <c r="AK916" s="36"/>
      <c r="AL916" s="36"/>
    </row>
    <row r="917" customFormat="false" ht="15" hidden="false" customHeight="false" outlineLevel="0" collapsed="false">
      <c r="AG917" s="36"/>
      <c r="AH917" s="36"/>
      <c r="AI917" s="36"/>
      <c r="AK917" s="36"/>
      <c r="AL917" s="36"/>
    </row>
    <row r="918" customFormat="false" ht="15" hidden="false" customHeight="false" outlineLevel="0" collapsed="false">
      <c r="AG918" s="36"/>
      <c r="AH918" s="36"/>
      <c r="AI918" s="36"/>
      <c r="AK918" s="36"/>
      <c r="AL918" s="36"/>
    </row>
    <row r="919" customFormat="false" ht="15" hidden="false" customHeight="false" outlineLevel="0" collapsed="false">
      <c r="AG919" s="36"/>
      <c r="AH919" s="36"/>
      <c r="AI919" s="36"/>
      <c r="AK919" s="36"/>
      <c r="AL919" s="36"/>
    </row>
    <row r="920" customFormat="false" ht="15" hidden="false" customHeight="false" outlineLevel="0" collapsed="false">
      <c r="AG920" s="36"/>
      <c r="AH920" s="36"/>
      <c r="AI920" s="36"/>
      <c r="AK920" s="36"/>
      <c r="AL920" s="36"/>
    </row>
    <row r="921" customFormat="false" ht="15" hidden="false" customHeight="false" outlineLevel="0" collapsed="false">
      <c r="AG921" s="36"/>
      <c r="AH921" s="36"/>
      <c r="AI921" s="36"/>
      <c r="AK921" s="36"/>
      <c r="AL921" s="36"/>
    </row>
    <row r="922" customFormat="false" ht="15" hidden="false" customHeight="false" outlineLevel="0" collapsed="false">
      <c r="AG922" s="36"/>
      <c r="AH922" s="36"/>
      <c r="AI922" s="36"/>
      <c r="AK922" s="36"/>
      <c r="AL922" s="36"/>
    </row>
    <row r="923" customFormat="false" ht="15" hidden="false" customHeight="false" outlineLevel="0" collapsed="false">
      <c r="AG923" s="36"/>
      <c r="AH923" s="36"/>
      <c r="AI923" s="36"/>
      <c r="AK923" s="36"/>
      <c r="AL923" s="36"/>
    </row>
    <row r="924" customFormat="false" ht="15" hidden="false" customHeight="false" outlineLevel="0" collapsed="false">
      <c r="AG924" s="36"/>
      <c r="AH924" s="36"/>
      <c r="AI924" s="36"/>
      <c r="AK924" s="36"/>
      <c r="AL924" s="36"/>
    </row>
    <row r="925" customFormat="false" ht="15" hidden="false" customHeight="false" outlineLevel="0" collapsed="false">
      <c r="AG925" s="36"/>
      <c r="AH925" s="36"/>
      <c r="AI925" s="36"/>
      <c r="AK925" s="36"/>
      <c r="AL925" s="36"/>
    </row>
    <row r="926" customFormat="false" ht="15" hidden="false" customHeight="false" outlineLevel="0" collapsed="false">
      <c r="AG926" s="36"/>
      <c r="AH926" s="36"/>
      <c r="AI926" s="36"/>
      <c r="AK926" s="36"/>
      <c r="AL926" s="36"/>
    </row>
    <row r="927" customFormat="false" ht="15" hidden="false" customHeight="false" outlineLevel="0" collapsed="false">
      <c r="AG927" s="36"/>
      <c r="AH927" s="36"/>
      <c r="AI927" s="36"/>
      <c r="AK927" s="36"/>
      <c r="AL927" s="36"/>
    </row>
    <row r="928" customFormat="false" ht="15" hidden="false" customHeight="false" outlineLevel="0" collapsed="false">
      <c r="AG928" s="36"/>
      <c r="AH928" s="36"/>
      <c r="AI928" s="36"/>
      <c r="AK928" s="36"/>
      <c r="AL928" s="36"/>
    </row>
    <row r="929" customFormat="false" ht="15" hidden="false" customHeight="false" outlineLevel="0" collapsed="false">
      <c r="AG929" s="36"/>
      <c r="AH929" s="36"/>
      <c r="AI929" s="36"/>
      <c r="AK929" s="36"/>
      <c r="AL929" s="36"/>
    </row>
    <row r="930" customFormat="false" ht="15" hidden="false" customHeight="false" outlineLevel="0" collapsed="false">
      <c r="AG930" s="36"/>
      <c r="AH930" s="36"/>
      <c r="AI930" s="36"/>
      <c r="AK930" s="36"/>
      <c r="AL930" s="36"/>
    </row>
    <row r="931" customFormat="false" ht="15" hidden="false" customHeight="false" outlineLevel="0" collapsed="false">
      <c r="AG931" s="36"/>
      <c r="AH931" s="36"/>
      <c r="AI931" s="36"/>
      <c r="AK931" s="36"/>
      <c r="AL931" s="36"/>
    </row>
    <row r="932" customFormat="false" ht="15" hidden="false" customHeight="false" outlineLevel="0" collapsed="false">
      <c r="AG932" s="36"/>
      <c r="AH932" s="36"/>
      <c r="AI932" s="36"/>
      <c r="AK932" s="36"/>
      <c r="AL932" s="36"/>
    </row>
    <row r="933" customFormat="false" ht="15" hidden="false" customHeight="false" outlineLevel="0" collapsed="false">
      <c r="AG933" s="36"/>
      <c r="AH933" s="36"/>
      <c r="AI933" s="36"/>
      <c r="AK933" s="36"/>
      <c r="AL933" s="36"/>
    </row>
    <row r="934" customFormat="false" ht="15" hidden="false" customHeight="false" outlineLevel="0" collapsed="false">
      <c r="AG934" s="36"/>
      <c r="AH934" s="36"/>
      <c r="AI934" s="36"/>
      <c r="AK934" s="36"/>
      <c r="AL934" s="36"/>
    </row>
    <row r="935" customFormat="false" ht="15" hidden="false" customHeight="false" outlineLevel="0" collapsed="false">
      <c r="AG935" s="36"/>
      <c r="AH935" s="36"/>
      <c r="AI935" s="36"/>
      <c r="AK935" s="36"/>
      <c r="AL935" s="36"/>
    </row>
    <row r="936" customFormat="false" ht="15" hidden="false" customHeight="false" outlineLevel="0" collapsed="false">
      <c r="AG936" s="36"/>
      <c r="AH936" s="36"/>
      <c r="AI936" s="36"/>
      <c r="AK936" s="36"/>
      <c r="AL936" s="36"/>
    </row>
    <row r="937" customFormat="false" ht="15" hidden="false" customHeight="false" outlineLevel="0" collapsed="false">
      <c r="AG937" s="36"/>
      <c r="AH937" s="36"/>
      <c r="AI937" s="36"/>
      <c r="AK937" s="36"/>
      <c r="AL937" s="36"/>
    </row>
    <row r="938" customFormat="false" ht="15" hidden="false" customHeight="false" outlineLevel="0" collapsed="false">
      <c r="AG938" s="36"/>
      <c r="AH938" s="36"/>
      <c r="AI938" s="36"/>
      <c r="AK938" s="36"/>
      <c r="AL938" s="36"/>
    </row>
    <row r="939" customFormat="false" ht="15" hidden="false" customHeight="false" outlineLevel="0" collapsed="false">
      <c r="AG939" s="36"/>
      <c r="AH939" s="36"/>
      <c r="AI939" s="36"/>
      <c r="AK939" s="36"/>
      <c r="AL939" s="36"/>
    </row>
    <row r="940" customFormat="false" ht="15" hidden="false" customHeight="false" outlineLevel="0" collapsed="false">
      <c r="AG940" s="36"/>
      <c r="AH940" s="36"/>
      <c r="AI940" s="36"/>
      <c r="AK940" s="36"/>
      <c r="AL940" s="36"/>
    </row>
    <row r="941" customFormat="false" ht="15" hidden="false" customHeight="false" outlineLevel="0" collapsed="false">
      <c r="AG941" s="36"/>
      <c r="AH941" s="36"/>
      <c r="AI941" s="36"/>
      <c r="AK941" s="36"/>
      <c r="AL941" s="36"/>
    </row>
    <row r="942" customFormat="false" ht="15" hidden="false" customHeight="false" outlineLevel="0" collapsed="false">
      <c r="AG942" s="36"/>
      <c r="AH942" s="36"/>
      <c r="AI942" s="36"/>
      <c r="AK942" s="36"/>
      <c r="AL942" s="36"/>
    </row>
    <row r="943" customFormat="false" ht="15" hidden="false" customHeight="false" outlineLevel="0" collapsed="false">
      <c r="AG943" s="36"/>
      <c r="AH943" s="36"/>
      <c r="AI943" s="36"/>
      <c r="AK943" s="36"/>
      <c r="AL943" s="36"/>
    </row>
    <row r="944" customFormat="false" ht="15" hidden="false" customHeight="false" outlineLevel="0" collapsed="false">
      <c r="AG944" s="36"/>
      <c r="AH944" s="36"/>
      <c r="AI944" s="36"/>
      <c r="AK944" s="36"/>
      <c r="AL944" s="36"/>
    </row>
    <row r="945" customFormat="false" ht="15" hidden="false" customHeight="false" outlineLevel="0" collapsed="false">
      <c r="AG945" s="36"/>
      <c r="AH945" s="36"/>
      <c r="AI945" s="36"/>
      <c r="AK945" s="36"/>
      <c r="AL945" s="36"/>
    </row>
    <row r="946" customFormat="false" ht="15" hidden="false" customHeight="false" outlineLevel="0" collapsed="false">
      <c r="AG946" s="36"/>
      <c r="AH946" s="36"/>
      <c r="AI946" s="36"/>
      <c r="AK946" s="36"/>
      <c r="AL946" s="36"/>
    </row>
    <row r="947" customFormat="false" ht="15" hidden="false" customHeight="false" outlineLevel="0" collapsed="false">
      <c r="AG947" s="36"/>
      <c r="AH947" s="36"/>
      <c r="AI947" s="36"/>
      <c r="AK947" s="36"/>
      <c r="AL947" s="36"/>
    </row>
    <row r="948" customFormat="false" ht="15" hidden="false" customHeight="false" outlineLevel="0" collapsed="false">
      <c r="AG948" s="36"/>
      <c r="AH948" s="36"/>
      <c r="AI948" s="36"/>
      <c r="AK948" s="36"/>
      <c r="AL948" s="36"/>
    </row>
    <row r="949" customFormat="false" ht="15" hidden="false" customHeight="false" outlineLevel="0" collapsed="false">
      <c r="AG949" s="36"/>
      <c r="AH949" s="36"/>
      <c r="AI949" s="36"/>
      <c r="AK949" s="36"/>
      <c r="AL949" s="36"/>
    </row>
    <row r="950" customFormat="false" ht="15" hidden="false" customHeight="false" outlineLevel="0" collapsed="false">
      <c r="AG950" s="36"/>
      <c r="AH950" s="36"/>
      <c r="AI950" s="36"/>
      <c r="AK950" s="36"/>
      <c r="AL950" s="36"/>
    </row>
    <row r="951" customFormat="false" ht="15" hidden="false" customHeight="false" outlineLevel="0" collapsed="false">
      <c r="AG951" s="36"/>
      <c r="AH951" s="36"/>
      <c r="AI951" s="36"/>
      <c r="AK951" s="36"/>
      <c r="AL951" s="36"/>
    </row>
    <row r="952" customFormat="false" ht="15" hidden="false" customHeight="false" outlineLevel="0" collapsed="false">
      <c r="AG952" s="36"/>
      <c r="AH952" s="36"/>
      <c r="AI952" s="36"/>
      <c r="AK952" s="36"/>
      <c r="AL952" s="36"/>
    </row>
    <row r="953" customFormat="false" ht="15" hidden="false" customHeight="false" outlineLevel="0" collapsed="false">
      <c r="AG953" s="36"/>
      <c r="AH953" s="36"/>
      <c r="AI953" s="36"/>
      <c r="AK953" s="36"/>
      <c r="AL953" s="36"/>
    </row>
    <row r="954" customFormat="false" ht="15" hidden="false" customHeight="false" outlineLevel="0" collapsed="false">
      <c r="AG954" s="36"/>
      <c r="AH954" s="36"/>
      <c r="AI954" s="36"/>
      <c r="AK954" s="36"/>
      <c r="AL954" s="36"/>
    </row>
    <row r="955" customFormat="false" ht="15" hidden="false" customHeight="false" outlineLevel="0" collapsed="false">
      <c r="AG955" s="36"/>
      <c r="AH955" s="36"/>
      <c r="AI955" s="36"/>
      <c r="AK955" s="36"/>
      <c r="AL955" s="36"/>
    </row>
    <row r="956" customFormat="false" ht="15" hidden="false" customHeight="false" outlineLevel="0" collapsed="false">
      <c r="AG956" s="36"/>
      <c r="AH956" s="36"/>
      <c r="AI956" s="36"/>
      <c r="AK956" s="36"/>
      <c r="AL956" s="36"/>
    </row>
    <row r="957" customFormat="false" ht="15" hidden="false" customHeight="false" outlineLevel="0" collapsed="false">
      <c r="AG957" s="36"/>
      <c r="AH957" s="36"/>
      <c r="AI957" s="36"/>
      <c r="AK957" s="36"/>
      <c r="AL957" s="36"/>
    </row>
    <row r="958" customFormat="false" ht="15" hidden="false" customHeight="false" outlineLevel="0" collapsed="false">
      <c r="AG958" s="36"/>
      <c r="AH958" s="36"/>
      <c r="AI958" s="36"/>
      <c r="AK958" s="36"/>
      <c r="AL958" s="36"/>
    </row>
    <row r="959" customFormat="false" ht="15" hidden="false" customHeight="false" outlineLevel="0" collapsed="false">
      <c r="AG959" s="36"/>
      <c r="AH959" s="36"/>
      <c r="AI959" s="36"/>
      <c r="AK959" s="36"/>
      <c r="AL959" s="36"/>
    </row>
    <row r="960" customFormat="false" ht="15" hidden="false" customHeight="false" outlineLevel="0" collapsed="false">
      <c r="AG960" s="36"/>
      <c r="AH960" s="36"/>
      <c r="AI960" s="36"/>
      <c r="AK960" s="36"/>
      <c r="AL960" s="36"/>
    </row>
    <row r="961" customFormat="false" ht="15" hidden="false" customHeight="false" outlineLevel="0" collapsed="false">
      <c r="AG961" s="36"/>
      <c r="AH961" s="36"/>
      <c r="AI961" s="36"/>
      <c r="AK961" s="36"/>
      <c r="AL961" s="36"/>
    </row>
    <row r="962" customFormat="false" ht="15" hidden="false" customHeight="false" outlineLevel="0" collapsed="false">
      <c r="AG962" s="36"/>
      <c r="AH962" s="36"/>
      <c r="AI962" s="36"/>
      <c r="AK962" s="36"/>
      <c r="AL962" s="36"/>
    </row>
    <row r="963" customFormat="false" ht="15" hidden="false" customHeight="false" outlineLevel="0" collapsed="false">
      <c r="AG963" s="36"/>
      <c r="AH963" s="36"/>
      <c r="AI963" s="36"/>
      <c r="AK963" s="36"/>
      <c r="AL963" s="36"/>
    </row>
    <row r="964" customFormat="false" ht="15" hidden="false" customHeight="false" outlineLevel="0" collapsed="false">
      <c r="AG964" s="36"/>
      <c r="AH964" s="36"/>
      <c r="AI964" s="36"/>
      <c r="AK964" s="36"/>
      <c r="AL964" s="36"/>
    </row>
    <row r="965" customFormat="false" ht="15" hidden="false" customHeight="false" outlineLevel="0" collapsed="false">
      <c r="AG965" s="36"/>
      <c r="AH965" s="36"/>
      <c r="AI965" s="36"/>
      <c r="AK965" s="36"/>
      <c r="AL965" s="36"/>
    </row>
    <row r="966" customFormat="false" ht="15" hidden="false" customHeight="false" outlineLevel="0" collapsed="false">
      <c r="AG966" s="36"/>
      <c r="AH966" s="36"/>
      <c r="AI966" s="36"/>
      <c r="AK966" s="36"/>
      <c r="AL966" s="36"/>
    </row>
    <row r="967" customFormat="false" ht="15" hidden="false" customHeight="false" outlineLevel="0" collapsed="false">
      <c r="AG967" s="36"/>
      <c r="AH967" s="36"/>
      <c r="AI967" s="36"/>
      <c r="AK967" s="36"/>
      <c r="AL967" s="36"/>
    </row>
    <row r="968" customFormat="false" ht="15" hidden="false" customHeight="false" outlineLevel="0" collapsed="false">
      <c r="AG968" s="36"/>
      <c r="AH968" s="36"/>
      <c r="AI968" s="36"/>
      <c r="AK968" s="36"/>
      <c r="AL968" s="36"/>
    </row>
    <row r="969" customFormat="false" ht="15" hidden="false" customHeight="false" outlineLevel="0" collapsed="false">
      <c r="AG969" s="36"/>
      <c r="AH969" s="36"/>
      <c r="AI969" s="36"/>
      <c r="AK969" s="36"/>
      <c r="AL969" s="36"/>
    </row>
    <row r="970" customFormat="false" ht="15" hidden="false" customHeight="false" outlineLevel="0" collapsed="false">
      <c r="AG970" s="36"/>
      <c r="AH970" s="36"/>
      <c r="AI970" s="36"/>
      <c r="AK970" s="36"/>
      <c r="AL970" s="36"/>
    </row>
    <row r="971" customFormat="false" ht="15" hidden="false" customHeight="false" outlineLevel="0" collapsed="false">
      <c r="AG971" s="36"/>
      <c r="AH971" s="36"/>
      <c r="AI971" s="36"/>
      <c r="AK971" s="36"/>
      <c r="AL971" s="36"/>
    </row>
    <row r="972" customFormat="false" ht="15" hidden="false" customHeight="false" outlineLevel="0" collapsed="false">
      <c r="AG972" s="36"/>
      <c r="AH972" s="36"/>
      <c r="AI972" s="36"/>
      <c r="AK972" s="36"/>
      <c r="AL972" s="36"/>
    </row>
    <row r="973" customFormat="false" ht="15" hidden="false" customHeight="false" outlineLevel="0" collapsed="false">
      <c r="AG973" s="36"/>
      <c r="AH973" s="36"/>
      <c r="AI973" s="36"/>
      <c r="AK973" s="36"/>
      <c r="AL973" s="36"/>
    </row>
    <row r="974" customFormat="false" ht="15" hidden="false" customHeight="false" outlineLevel="0" collapsed="false">
      <c r="AG974" s="36"/>
      <c r="AH974" s="36"/>
      <c r="AI974" s="36"/>
      <c r="AK974" s="36"/>
      <c r="AL974" s="36"/>
    </row>
    <row r="975" customFormat="false" ht="15" hidden="false" customHeight="false" outlineLevel="0" collapsed="false">
      <c r="AG975" s="36"/>
      <c r="AH975" s="36"/>
      <c r="AI975" s="36"/>
      <c r="AK975" s="36"/>
      <c r="AL975" s="36"/>
    </row>
    <row r="976" customFormat="false" ht="15" hidden="false" customHeight="false" outlineLevel="0" collapsed="false">
      <c r="AG976" s="36"/>
      <c r="AH976" s="36"/>
      <c r="AI976" s="36"/>
      <c r="AK976" s="36"/>
      <c r="AL976" s="36"/>
    </row>
    <row r="977" customFormat="false" ht="15" hidden="false" customHeight="false" outlineLevel="0" collapsed="false">
      <c r="AG977" s="36"/>
      <c r="AH977" s="36"/>
      <c r="AI977" s="36"/>
      <c r="AK977" s="36"/>
      <c r="AL977" s="36"/>
    </row>
    <row r="978" customFormat="false" ht="15" hidden="false" customHeight="false" outlineLevel="0" collapsed="false">
      <c r="AG978" s="36"/>
      <c r="AH978" s="36"/>
      <c r="AI978" s="36"/>
      <c r="AK978" s="36"/>
      <c r="AL978" s="36"/>
    </row>
    <row r="979" customFormat="false" ht="15" hidden="false" customHeight="false" outlineLevel="0" collapsed="false">
      <c r="AG979" s="36"/>
      <c r="AH979" s="36"/>
      <c r="AI979" s="36"/>
      <c r="AK979" s="36"/>
      <c r="AL979" s="36"/>
    </row>
    <row r="980" customFormat="false" ht="15" hidden="false" customHeight="false" outlineLevel="0" collapsed="false">
      <c r="AG980" s="36"/>
      <c r="AH980" s="36"/>
      <c r="AI980" s="36"/>
      <c r="AK980" s="36"/>
      <c r="AL980" s="36"/>
    </row>
    <row r="981" customFormat="false" ht="15" hidden="false" customHeight="false" outlineLevel="0" collapsed="false">
      <c r="AG981" s="36"/>
      <c r="AH981" s="36"/>
      <c r="AI981" s="36"/>
      <c r="AK981" s="36"/>
      <c r="AL981" s="36"/>
    </row>
    <row r="982" customFormat="false" ht="15" hidden="false" customHeight="false" outlineLevel="0" collapsed="false">
      <c r="AG982" s="36"/>
      <c r="AH982" s="36"/>
      <c r="AI982" s="36"/>
      <c r="AK982" s="36"/>
      <c r="AL982" s="36"/>
    </row>
    <row r="983" customFormat="false" ht="15" hidden="false" customHeight="false" outlineLevel="0" collapsed="false">
      <c r="AG983" s="36"/>
      <c r="AH983" s="36"/>
      <c r="AI983" s="36"/>
      <c r="AK983" s="36"/>
      <c r="AL983" s="36"/>
    </row>
    <row r="984" customFormat="false" ht="15" hidden="false" customHeight="false" outlineLevel="0" collapsed="false">
      <c r="AG984" s="36"/>
      <c r="AH984" s="36"/>
      <c r="AI984" s="36"/>
      <c r="AK984" s="36"/>
      <c r="AL984" s="36"/>
    </row>
    <row r="985" customFormat="false" ht="15" hidden="false" customHeight="false" outlineLevel="0" collapsed="false">
      <c r="AG985" s="36"/>
      <c r="AH985" s="36"/>
      <c r="AI985" s="36"/>
      <c r="AK985" s="36"/>
      <c r="AL985" s="36"/>
    </row>
    <row r="986" customFormat="false" ht="15" hidden="false" customHeight="false" outlineLevel="0" collapsed="false">
      <c r="AG986" s="36"/>
      <c r="AH986" s="36"/>
      <c r="AI986" s="36"/>
      <c r="AK986" s="36"/>
      <c r="AL986" s="36"/>
    </row>
    <row r="987" customFormat="false" ht="15" hidden="false" customHeight="false" outlineLevel="0" collapsed="false">
      <c r="AG987" s="36"/>
      <c r="AH987" s="36"/>
      <c r="AI987" s="36"/>
      <c r="AK987" s="36"/>
      <c r="AL987" s="36"/>
    </row>
    <row r="988" customFormat="false" ht="15" hidden="false" customHeight="false" outlineLevel="0" collapsed="false">
      <c r="AG988" s="36"/>
      <c r="AH988" s="36"/>
      <c r="AI988" s="36"/>
      <c r="AK988" s="36"/>
      <c r="AL988" s="36"/>
    </row>
    <row r="989" customFormat="false" ht="15" hidden="false" customHeight="false" outlineLevel="0" collapsed="false">
      <c r="AG989" s="36"/>
      <c r="AH989" s="36"/>
      <c r="AI989" s="36"/>
      <c r="AK989" s="36"/>
      <c r="AL989" s="36"/>
    </row>
    <row r="990" customFormat="false" ht="15" hidden="false" customHeight="false" outlineLevel="0" collapsed="false">
      <c r="AG990" s="36"/>
      <c r="AH990" s="36"/>
      <c r="AI990" s="36"/>
      <c r="AK990" s="36"/>
      <c r="AL990" s="36"/>
    </row>
    <row r="991" customFormat="false" ht="15" hidden="false" customHeight="false" outlineLevel="0" collapsed="false">
      <c r="AG991" s="36"/>
      <c r="AH991" s="36"/>
      <c r="AI991" s="36"/>
      <c r="AK991" s="36"/>
      <c r="AL991" s="36"/>
    </row>
    <row r="992" customFormat="false" ht="15" hidden="false" customHeight="false" outlineLevel="0" collapsed="false">
      <c r="AG992" s="36"/>
      <c r="AH992" s="36"/>
      <c r="AI992" s="36"/>
      <c r="AK992" s="36"/>
      <c r="AL992" s="36"/>
    </row>
    <row r="993" customFormat="false" ht="15" hidden="false" customHeight="false" outlineLevel="0" collapsed="false">
      <c r="AG993" s="36"/>
      <c r="AH993" s="36"/>
      <c r="AI993" s="36"/>
      <c r="AK993" s="36"/>
      <c r="AL993" s="36"/>
    </row>
    <row r="994" customFormat="false" ht="15" hidden="false" customHeight="false" outlineLevel="0" collapsed="false">
      <c r="AG994" s="36"/>
      <c r="AH994" s="36"/>
      <c r="AI994" s="36"/>
      <c r="AK994" s="36"/>
      <c r="AL994" s="36"/>
    </row>
    <row r="995" customFormat="false" ht="15" hidden="false" customHeight="false" outlineLevel="0" collapsed="false">
      <c r="AG995" s="36"/>
      <c r="AH995" s="36"/>
      <c r="AI995" s="36"/>
      <c r="AK995" s="36"/>
      <c r="AL995" s="36"/>
    </row>
    <row r="996" customFormat="false" ht="15" hidden="false" customHeight="false" outlineLevel="0" collapsed="false">
      <c r="AG996" s="36"/>
      <c r="AH996" s="36"/>
      <c r="AI996" s="36"/>
      <c r="AK996" s="36"/>
      <c r="AL996" s="36"/>
    </row>
    <row r="997" customFormat="false" ht="15" hidden="false" customHeight="false" outlineLevel="0" collapsed="false">
      <c r="AG997" s="36"/>
      <c r="AH997" s="36"/>
      <c r="AI997" s="36"/>
      <c r="AK997" s="36"/>
      <c r="AL997" s="36"/>
    </row>
    <row r="998" customFormat="false" ht="15" hidden="false" customHeight="false" outlineLevel="0" collapsed="false">
      <c r="AG998" s="36"/>
      <c r="AH998" s="36"/>
      <c r="AI998" s="36"/>
      <c r="AK998" s="36"/>
      <c r="AL998" s="36"/>
    </row>
    <row r="999" customFormat="false" ht="15" hidden="false" customHeight="false" outlineLevel="0" collapsed="false">
      <c r="AG999" s="36"/>
      <c r="AH999" s="36"/>
      <c r="AI999" s="36"/>
      <c r="AK999" s="36"/>
      <c r="AL999" s="36"/>
    </row>
    <row r="1000" customFormat="false" ht="15" hidden="false" customHeight="false" outlineLevel="0" collapsed="false">
      <c r="AG1000" s="36"/>
      <c r="AH1000" s="36"/>
      <c r="AI1000" s="36"/>
      <c r="AK1000" s="36"/>
      <c r="AL1000" s="36"/>
    </row>
    <row r="1001" customFormat="false" ht="15" hidden="false" customHeight="false" outlineLevel="0" collapsed="false">
      <c r="AG1001" s="36"/>
      <c r="AH1001" s="36"/>
      <c r="AI1001" s="36"/>
      <c r="AK1001" s="36"/>
      <c r="AL1001" s="36"/>
    </row>
    <row r="1002" customFormat="false" ht="15" hidden="false" customHeight="false" outlineLevel="0" collapsed="false">
      <c r="AG1002" s="36"/>
      <c r="AH1002" s="36"/>
      <c r="AI1002" s="36"/>
      <c r="AK1002" s="36"/>
      <c r="AL1002" s="36"/>
    </row>
    <row r="1003" customFormat="false" ht="15" hidden="false" customHeight="false" outlineLevel="0" collapsed="false">
      <c r="AG1003" s="36"/>
      <c r="AH1003" s="36"/>
      <c r="AI1003" s="36"/>
      <c r="AK1003" s="36"/>
      <c r="AL1003" s="36"/>
    </row>
    <row r="1004" customFormat="false" ht="15" hidden="false" customHeight="false" outlineLevel="0" collapsed="false">
      <c r="AG1004" s="36"/>
      <c r="AH1004" s="36"/>
      <c r="AI1004" s="36"/>
      <c r="AK1004" s="36"/>
      <c r="AL1004" s="36"/>
    </row>
    <row r="1005" customFormat="false" ht="15" hidden="false" customHeight="false" outlineLevel="0" collapsed="false">
      <c r="AG1005" s="36"/>
      <c r="AH1005" s="36"/>
      <c r="AI1005" s="36"/>
      <c r="AK1005" s="36"/>
      <c r="AL1005" s="36"/>
    </row>
    <row r="1006" customFormat="false" ht="15" hidden="false" customHeight="false" outlineLevel="0" collapsed="false">
      <c r="AG1006" s="36"/>
      <c r="AH1006" s="36"/>
      <c r="AI1006" s="36"/>
      <c r="AK1006" s="36"/>
      <c r="AL1006" s="36"/>
    </row>
  </sheetData>
  <autoFilter ref="A1:BC7000"/>
  <conditionalFormatting sqref="C2:C7000">
    <cfRule type="cellIs" priority="2" operator="equal" aboveAverage="0" equalAverage="0" bottom="0" percent="0" rank="0" text="" dxfId="16">
      <formula>"Not started"</formula>
    </cfRule>
    <cfRule type="cellIs" priority="3" operator="equal" aboveAverage="0" equalAverage="0" bottom="0" percent="0" rank="0" text="" dxfId="17">
      <formula>"Needs research"</formula>
    </cfRule>
    <cfRule type="cellIs" priority="4" operator="equal" aboveAverage="0" equalAverage="0" bottom="0" percent="0" rank="0" text="" dxfId="18">
      <formula>"Ready to email"</formula>
    </cfRule>
    <cfRule type="cellIs" priority="5" operator="equal" aboveAverage="0" equalAverage="0" bottom="0" percent="0" rank="0" text="" dxfId="19">
      <formula>"Emailed"</formula>
    </cfRule>
    <cfRule type="cellIs" priority="6" operator="equal" aboveAverage="0" equalAverage="0" bottom="0" percent="0" rank="0" text="" dxfId="20">
      <formula>"Following up"</formula>
    </cfRule>
    <cfRule type="cellIs" priority="7" operator="equal" aboveAverage="0" equalAverage="0" bottom="0" percent="0" rank="0" text="" dxfId="21">
      <formula>"Replied"</formula>
    </cfRule>
    <cfRule type="cellIs" priority="8" operator="equal" aboveAverage="0" equalAverage="0" bottom="0" percent="0" rank="0" text="" dxfId="22">
      <formula>"Meeting set"</formula>
    </cfRule>
    <cfRule type="cellIs" priority="9" operator="equal" aboveAverage="0" equalAverage="0" bottom="0" percent="0" rank="0" text="" dxfId="23">
      <formula>"Customer"</formula>
    </cfRule>
    <cfRule type="cellIs" priority="10" operator="equal" aboveAverage="0" equalAverage="0" bottom="0" percent="0" rank="0" text="" dxfId="24">
      <formula>"Not now"</formula>
    </cfRule>
    <cfRule type="cellIs" priority="11" operator="equal" aboveAverage="0" equalAverage="0" bottom="0" percent="0" rank="0" text="" dxfId="25">
      <formula>"Not a fit"</formula>
    </cfRule>
  </conditionalFormatting>
  <conditionalFormatting sqref="D2:D7000">
    <cfRule type="cellIs" priority="12" operator="equal" aboveAverage="0" equalAverage="0" bottom="0" percent="0" rank="0" text="" dxfId="26">
      <formula>"A"</formula>
    </cfRule>
    <cfRule type="cellIs" priority="13" operator="equal" aboveAverage="0" equalAverage="0" bottom="0" percent="0" rank="0" text="" dxfId="27">
      <formula>"B"</formula>
    </cfRule>
    <cfRule type="cellIs" priority="14" operator="equal" aboveAverage="0" equalAverage="0" bottom="0" percent="0" rank="0" text="" dxfId="28">
      <formula>"C"</formula>
    </cfRule>
  </conditionalFormatting>
  <conditionalFormatting sqref="AH2:AH7000">
    <cfRule type="expression" priority="15" aboveAverage="0" equalAverage="0" bottom="0" percent="0" rank="0" text="" dxfId="29">
      <formula>AND(AH2&lt;&gt;"",AH2&lt;=TODAY(),OR(AM2="",AM2="No reply yet"))</formula>
    </cfRule>
  </conditionalFormatting>
  <conditionalFormatting sqref="AI2:AI7000">
    <cfRule type="expression" priority="16" aboveAverage="0" equalAverage="0" bottom="0" percent="0" rank="0" text="" dxfId="29">
      <formula>AND(AI2&lt;&gt;"",AI2&lt;=TODAY(),OR(AM2="",AM2="No reply yet"))</formula>
    </cfRule>
  </conditionalFormatting>
  <conditionalFormatting sqref="AK2:AK7000">
    <cfRule type="expression" priority="17" aboveAverage="0" equalAverage="0" bottom="0" percent="0" rank="0" text="" dxfId="29">
      <formula>AND(AK2&lt;&gt;"",AK2&lt;=TODAY(),OR(AM2="",AM2="No reply yet"))</formula>
    </cfRule>
  </conditionalFormatting>
  <dataValidations count="14">
    <dataValidation allowBlank="true" error="Choose a value from the Prospect Status list (edit options on the Lists tab)." errorStyle="stop" errorTitle="Pick from the list" operator="between" showDropDown="false" showErrorMessage="true" showInputMessage="false" sqref="C2:C1006" type="list">
      <formula1>Lists!$A$2:$A$11</formula1>
      <formula2>0</formula2>
    </dataValidation>
    <dataValidation allowBlank="true" error="Choose a value from the Tier list (edit options on the Lists tab)." errorStyle="stop" errorTitle="Pick from the list" operator="between" showDropDown="false" showErrorMessage="true" showInputMessage="false" sqref="D2:D1006" type="list">
      <formula1>Lists!$B$2:$B$4</formula1>
      <formula2>0</formula2>
    </dataValidation>
    <dataValidation allowBlank="true" error="Choose a value from the Glove Fit list (edit options on the Lists tab)." errorStyle="stop" errorTitle="Pick from the list" operator="between" showDropDown="false" showErrorMessage="true" showInputMessage="false" sqref="E2:E1006" type="list">
      <formula1>Lists!$C$2:$C$4</formula1>
      <formula2>0</formula2>
    </dataValidation>
    <dataValidation allowBlank="true" error="Choose a value from the Industry Group list (edit options on the Lists tab)." errorStyle="stop" errorTitle="Pick from the list" operator="between" showDropDown="false" showErrorMessage="true" showInputMessage="false" sqref="F2:F1006" type="list">
      <formula1>Lists!$D$2:$D$16</formula1>
      <formula2>0</formula2>
    </dataValidation>
    <dataValidation allowBlank="true" error="Choose a value from the MI Region list (edit options on the Lists tab)." errorStyle="stop" errorTitle="Pick from the list" operator="between" showDropDown="false" showErrorMessage="true" showInputMessage="false" sqref="H2:H1006" type="list">
      <formula1>Lists!$E$2:$E$12</formula1>
      <formula2>0</formula2>
    </dataValidation>
    <dataValidation allowBlank="true" error="Choose a value from the Contact Research list (edit options on the Lists tab)." errorStyle="stop" errorTitle="Pick from the list" operator="between" showDropDown="false" showErrorMessage="true" showInputMessage="false" sqref="U2:U1006" type="list">
      <formula1>Lists!$F$2:$F$6</formula1>
      <formula2>0</formula2>
    </dataValidation>
    <dataValidation allowBlank="true" error="Choose a value from the Contact Role list (edit options on the Lists tab)." errorStyle="stop" errorTitle="Pick from the list" operator="between" showDropDown="false" showErrorMessage="true" showInputMessage="false" sqref="X2:X1006" type="list">
      <formula1>Lists!$G$2:$G$9</formula1>
      <formula2>0</formula2>
    </dataValidation>
    <dataValidation allowBlank="true" error="Choose a value from the Contact Role list (edit options on the Lists tab)." errorStyle="stop" errorTitle="Pick from the list" operator="between" showDropDown="false" showErrorMessage="true" showInputMessage="false" sqref="AC2:AC1006" type="list">
      <formula1>Lists!$G$2:$G$9</formula1>
      <formula2>0</formula2>
    </dataValidation>
    <dataValidation allowBlank="true" error="Choose a value from the Email Version list (edit options on the Lists tab)." errorStyle="stop" errorTitle="Pick from the list" operator="between" showDropDown="false" showErrorMessage="true" showInputMessage="false" sqref="AF2:AF1006" type="list">
      <formula1>Lists!$H$2:$H$3</formula1>
      <formula2>0</formula2>
    </dataValidation>
    <dataValidation allowBlank="true" error="Choose a value from the Next Step list (edit options on the Lists tab)." errorStyle="stop" errorTitle="Pick from the list" operator="between" showDropDown="false" showErrorMessage="true" showInputMessage="false" sqref="AJ2:AJ1006" type="list">
      <formula1>Lists!$I$2:$I$7</formula1>
      <formula2>0</formula2>
    </dataValidation>
    <dataValidation allowBlank="true" error="Choose a value from the Reply Type list (edit options on the Lists tab)." errorStyle="stop" errorTitle="Pick from the list" operator="between" showDropDown="false" showErrorMessage="true" showInputMessage="false" sqref="AM2:AM1006" type="list">
      <formula1>Lists!$J$2:$J$6</formula1>
      <formula2>0</formula2>
    </dataValidation>
    <dataValidation allowBlank="true" error="Choose a value from the Yes/No list (edit options on the Lists tab)." errorStyle="stop" errorTitle="Pick from the list" operator="between" showDropDown="false" showErrorMessage="true" showInputMessage="false" sqref="AN2:AN1006" type="list">
      <formula1>Lists!$K$2:$K$3</formula1>
      <formula2>0</formula2>
    </dataValidation>
    <dataValidation allowBlank="true" error="Choose a value from the Yes/No list (edit options on the Lists tab)." errorStyle="stop" errorTitle="Pick from the list" operator="between" showDropDown="false" showErrorMessage="true" showInputMessage="false" sqref="AP2:AP1006" type="list">
      <formula1>Lists!$K$2:$K$3</formula1>
      <formula2>0</formula2>
    </dataValidation>
    <dataValidation allowBlank="true" error="Enter a date like 10/28/2026." errorStyle="stop" errorTitle="Date" operator="greaterThan" showDropDown="false" showErrorMessage="true" showInputMessage="false" sqref="AG2:AG1006 AK2:AL1006" type="date">
      <formula1>36526</formula1>
      <formula2>0</formula2>
    </dataValidation>
  </dataValidations>
  <hyperlinks>
    <hyperlink ref="Q2" r:id="rId1" display="Search"/>
    <hyperlink ref="R2" r:id="rId2" display="Search"/>
    <hyperlink ref="Q3" r:id="rId3" display="Search"/>
    <hyperlink ref="R3" r:id="rId4" display="Search"/>
    <hyperlink ref="Q4" r:id="rId5" display="Search"/>
    <hyperlink ref="R4" r:id="rId6" display="Search"/>
    <hyperlink ref="Q5" r:id="rId7" display="Search"/>
    <hyperlink ref="R5" r:id="rId8" display="Search"/>
    <hyperlink ref="Q6" r:id="rId9" display="Search"/>
    <hyperlink ref="R6" r:id="rId10"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4"/>
    <col collapsed="false" customWidth="true" hidden="false" outlineLevel="0" max="4" min="4" style="0" width="37"/>
    <col collapsed="false" customWidth="true" hidden="false" outlineLevel="0" max="5" min="5" style="0" width="36"/>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17"/>
    <col collapsed="false" customWidth="true" hidden="false" outlineLevel="0" max="11" min="10" style="0" width="14"/>
  </cols>
  <sheetData>
    <row r="1" customFormat="false" ht="15" hidden="false" customHeight="false" outlineLevel="0" collapsed="false">
      <c r="A1" s="37" t="s">
        <v>74</v>
      </c>
      <c r="B1" s="37" t="s">
        <v>75</v>
      </c>
      <c r="C1" s="37" t="s">
        <v>76</v>
      </c>
      <c r="D1" s="37" t="s">
        <v>28</v>
      </c>
      <c r="E1" s="37" t="s">
        <v>78</v>
      </c>
      <c r="F1" s="37" t="s">
        <v>91</v>
      </c>
      <c r="G1" s="37" t="s">
        <v>222</v>
      </c>
      <c r="H1" s="37" t="s">
        <v>47</v>
      </c>
      <c r="I1" s="37" t="s">
        <v>105</v>
      </c>
      <c r="J1" s="37" t="s">
        <v>108</v>
      </c>
      <c r="K1" s="37" t="s">
        <v>223</v>
      </c>
    </row>
    <row r="2" customFormat="false" ht="15" hidden="false" customHeight="false" outlineLevel="0" collapsed="false">
      <c r="A2" s="38" t="s">
        <v>17</v>
      </c>
      <c r="B2" s="38" t="s">
        <v>126</v>
      </c>
      <c r="C2" s="38" t="s">
        <v>127</v>
      </c>
      <c r="D2" s="38" t="s">
        <v>31</v>
      </c>
      <c r="E2" s="38" t="s">
        <v>155</v>
      </c>
      <c r="F2" s="38" t="s">
        <v>17</v>
      </c>
      <c r="G2" s="38" t="s">
        <v>137</v>
      </c>
      <c r="H2" s="38" t="s">
        <v>48</v>
      </c>
      <c r="I2" s="38" t="s">
        <v>224</v>
      </c>
      <c r="J2" s="38" t="s">
        <v>225</v>
      </c>
      <c r="K2" s="38" t="s">
        <v>226</v>
      </c>
    </row>
    <row r="3" customFormat="false" ht="15" hidden="false" customHeight="false" outlineLevel="0" collapsed="false">
      <c r="A3" s="38" t="s">
        <v>18</v>
      </c>
      <c r="B3" s="38" t="s">
        <v>171</v>
      </c>
      <c r="C3" s="38" t="s">
        <v>227</v>
      </c>
      <c r="D3" s="38" t="s">
        <v>32</v>
      </c>
      <c r="E3" s="38" t="s">
        <v>129</v>
      </c>
      <c r="F3" s="38" t="s">
        <v>228</v>
      </c>
      <c r="G3" s="38" t="s">
        <v>229</v>
      </c>
      <c r="H3" s="38" t="s">
        <v>49</v>
      </c>
      <c r="I3" s="38" t="s">
        <v>230</v>
      </c>
      <c r="J3" s="38" t="s">
        <v>231</v>
      </c>
      <c r="K3" s="38" t="s">
        <v>140</v>
      </c>
    </row>
    <row r="4" customFormat="false" ht="15" hidden="false" customHeight="false" outlineLevel="0" collapsed="false">
      <c r="A4" s="38" t="s">
        <v>19</v>
      </c>
      <c r="B4" s="38" t="s">
        <v>205</v>
      </c>
      <c r="C4" s="38" t="s">
        <v>232</v>
      </c>
      <c r="D4" s="38" t="s">
        <v>33</v>
      </c>
      <c r="E4" s="38" t="s">
        <v>233</v>
      </c>
      <c r="F4" s="38" t="s">
        <v>234</v>
      </c>
      <c r="G4" s="38" t="s">
        <v>235</v>
      </c>
      <c r="I4" s="38" t="s">
        <v>236</v>
      </c>
      <c r="J4" s="38" t="s">
        <v>25</v>
      </c>
    </row>
    <row r="5" customFormat="false" ht="15" hidden="false" customHeight="false" outlineLevel="0" collapsed="false">
      <c r="A5" s="38" t="s">
        <v>20</v>
      </c>
      <c r="D5" s="38" t="s">
        <v>34</v>
      </c>
      <c r="E5" s="38" t="s">
        <v>207</v>
      </c>
      <c r="F5" s="38" t="s">
        <v>134</v>
      </c>
      <c r="G5" s="38" t="s">
        <v>237</v>
      </c>
      <c r="I5" s="38" t="s">
        <v>238</v>
      </c>
      <c r="J5" s="38" t="s">
        <v>26</v>
      </c>
    </row>
    <row r="6" customFormat="false" ht="15" hidden="false" customHeight="false" outlineLevel="0" collapsed="false">
      <c r="A6" s="38" t="s">
        <v>21</v>
      </c>
      <c r="D6" s="38" t="s">
        <v>35</v>
      </c>
      <c r="E6" s="38" t="s">
        <v>189</v>
      </c>
      <c r="F6" s="38" t="s">
        <v>239</v>
      </c>
      <c r="G6" s="38" t="s">
        <v>240</v>
      </c>
      <c r="I6" s="38" t="s">
        <v>241</v>
      </c>
      <c r="J6" s="38" t="s">
        <v>242</v>
      </c>
    </row>
    <row r="7" customFormat="false" ht="15" hidden="false" customHeight="false" outlineLevel="0" collapsed="false">
      <c r="A7" s="38" t="s">
        <v>22</v>
      </c>
      <c r="D7" s="38" t="s">
        <v>36</v>
      </c>
      <c r="E7" s="38" t="s">
        <v>243</v>
      </c>
      <c r="G7" s="38" t="s">
        <v>244</v>
      </c>
      <c r="I7" s="38" t="s">
        <v>245</v>
      </c>
    </row>
    <row r="8" customFormat="false" ht="15" hidden="false" customHeight="false" outlineLevel="0" collapsed="false">
      <c r="A8" s="38" t="s">
        <v>23</v>
      </c>
      <c r="D8" s="38" t="s">
        <v>37</v>
      </c>
      <c r="E8" s="38" t="s">
        <v>246</v>
      </c>
      <c r="G8" s="38" t="s">
        <v>247</v>
      </c>
    </row>
    <row r="9" customFormat="false" ht="15" hidden="false" customHeight="false" outlineLevel="0" collapsed="false">
      <c r="A9" s="38" t="s">
        <v>24</v>
      </c>
      <c r="D9" s="38" t="s">
        <v>38</v>
      </c>
      <c r="E9" s="38" t="s">
        <v>248</v>
      </c>
      <c r="G9" s="38" t="s">
        <v>249</v>
      </c>
    </row>
    <row r="10" customFormat="false" ht="15" hidden="false" customHeight="false" outlineLevel="0" collapsed="false">
      <c r="A10" s="38" t="s">
        <v>25</v>
      </c>
      <c r="D10" s="38" t="s">
        <v>39</v>
      </c>
      <c r="E10" s="38" t="s">
        <v>250</v>
      </c>
    </row>
    <row r="11" customFormat="false" ht="15" hidden="false" customHeight="false" outlineLevel="0" collapsed="false">
      <c r="A11" s="38" t="s">
        <v>26</v>
      </c>
      <c r="D11" s="38" t="s">
        <v>40</v>
      </c>
      <c r="E11" s="38" t="s">
        <v>251</v>
      </c>
    </row>
    <row r="12" customFormat="false" ht="15" hidden="false" customHeight="false" outlineLevel="0" collapsed="false">
      <c r="D12" s="38" t="s">
        <v>41</v>
      </c>
      <c r="E12" s="38" t="s">
        <v>252</v>
      </c>
    </row>
    <row r="13" customFormat="false" ht="15" hidden="false" customHeight="false" outlineLevel="0" collapsed="false">
      <c r="D13" s="38" t="s">
        <v>42</v>
      </c>
    </row>
    <row r="14" customFormat="false" ht="15" hidden="false" customHeight="false" outlineLevel="0" collapsed="false">
      <c r="D14" s="38" t="s">
        <v>43</v>
      </c>
    </row>
    <row r="15" customFormat="false" ht="15" hidden="false" customHeight="false" outlineLevel="0" collapsed="false">
      <c r="D15" s="38" t="s">
        <v>44</v>
      </c>
    </row>
    <row r="16" customFormat="false" ht="15" hidden="false" customHeight="false" outlineLevel="0" collapsed="false">
      <c r="D16" s="38"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2026-10-28T20:10:44Z</dcterms:created>
  <dc:creator>openpyxl</dc:creator>
  <dc:description/>
  <dc:language>en-US</dc:language>
  <cp:lastModifiedBy/>
  <dcterms:modified xsi:type="dcterms:W3CDTF">2026-10-28T20:10:46Z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